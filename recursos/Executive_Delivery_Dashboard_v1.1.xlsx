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 Me" sheetId="2" state="visible" r:id="rId4"/>
    <sheet name="Settings" sheetId="3" state="visible" r:id="rId5"/>
    <sheet name="Weekly Tracking" sheetId="4" state="visible" r:id="rId6"/>
    <sheet name="Deliverables" sheetId="5" state="visible" r:id="rId7"/>
    <sheet name="Risks" sheetId="6" state="visible" r:id="rId8"/>
  </sheets>
  <definedNames>
    <definedName function="false" hidden="false" localSheetId="0" name="_xlnm.Print_Area" vbProcedure="false">Dashboard!$A$1:$N$78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<sst xmlns="http://schemas.openxmlformats.org/spreadsheetml/2006/main" count="326" uniqueCount="272">
  <si>
    <t xml:space="preserve">Executive Delivery Dashboard</t>
  </si>
  <si>
    <t xml:space="preserve">DELIVERY CON CHARLY BRITO</t>
  </si>
  <si>
    <t xml:space="preserve">ACTUAL PROGRESS</t>
  </si>
  <si>
    <t xml:space="preserve">SPI · SCHEDULE</t>
  </si>
  <si>
    <t xml:space="preserve">CPI · COST</t>
  </si>
  <si>
    <t xml:space="preserve">ACCEPTANCE</t>
  </si>
  <si>
    <t xml:space="preserve">OPEN RISKS</t>
  </si>
  <si>
    <t xml:space="preserve">OVERALL STATUS</t>
  </si>
  <si>
    <t xml:space="preserve">Earned value · this week's reading</t>
  </si>
  <si>
    <t xml:space="preserve">PV, EV and AC at cut-off; SPI(t) measures delay in time; verified progress applies the rule chosen in Settings.</t>
  </si>
  <si>
    <t xml:space="preserve">PV · PLANNED TO DATE</t>
  </si>
  <si>
    <t xml:space="preserve">EV · EARNED VALUE</t>
  </si>
  <si>
    <t xml:space="preserve">AC · ACTUAL COST</t>
  </si>
  <si>
    <t xml:space="preserve">SPI(t) · TIME</t>
  </si>
  <si>
    <t xml:space="preserve">SCHEDULE GAP (PERIODS)</t>
  </si>
  <si>
    <t xml:space="preserve">VERIFIED PROGRESS</t>
  </si>
  <si>
    <t xml:space="preserve">S-curve · cumulative progress</t>
  </si>
  <si>
    <t xml:space="preserve">Cumulative cost</t>
  </si>
  <si>
    <t xml:space="preserve">Plan vs. actual; the gap between the lines is the delay.</t>
  </si>
  <si>
    <t xml:space="preserve">Client acceptance</t>
  </si>
  <si>
    <t xml:space="preserve">Heat map of open risks</t>
  </si>
  <si>
    <t xml:space="preserve">Deliverables by status. Delivered is not accepted.</t>
  </si>
  <si>
    <t xml:space="preserve">Number of risks by probability and impact.</t>
  </si>
  <si>
    <t xml:space="preserve">Probability ↓ / Impact →</t>
  </si>
  <si>
    <t xml:space="preserve">Status</t>
  </si>
  <si>
    <t xml:space="preserve">Deliverables</t>
  </si>
  <si>
    <t xml:space="preserve">■ Critical  ■ High  ■ Medium  ■ Low  (zones adjustable in Settings)</t>
  </si>
  <si>
    <t xml:space="preserve">Weekly indices · SPI, SPI(t) and CPI</t>
  </si>
  <si>
    <t xml:space="preserve">SPI measures value and tends to 1.00 at closing; SPI(t) measures time. 1.00 = on plan.</t>
  </si>
  <si>
    <t xml:space="preserve">Priority risks</t>
  </si>
  <si>
    <t xml:space="preserve">The 5 open risks with the highest severity.</t>
  </si>
  <si>
    <t xml:space="preserve">ID</t>
  </si>
  <si>
    <t xml:space="preserve">Description</t>
  </si>
  <si>
    <t xml:space="preserve">Owner</t>
  </si>
  <si>
    <t xml:space="preserve">Response plan</t>
  </si>
  <si>
    <t xml:space="preserve">Severity</t>
  </si>
  <si>
    <t xml:space="preserve">Level</t>
  </si>
  <si>
    <t xml:space="preserve">4 fields?</t>
  </si>
  <si>
    <t xml:space="preserve">Decisions required from leadership</t>
  </si>
  <si>
    <t xml:space="preserve">The only thing you type on this sheet: what you need, from whom and by when.</t>
  </si>
  <si>
    <t xml:space="preserve">Decision required</t>
  </si>
  <si>
    <t xml:space="preserve">Due date</t>
  </si>
  <si>
    <t xml:space="preserve">Impact if not decided</t>
  </si>
  <si>
    <t xml:space="preserve">Approve an alternate maintenance window</t>
  </si>
  <si>
    <t xml:space="preserve">Client management</t>
  </si>
  <si>
    <t xml:space="preserve">The migration slips 2 weeks and SPI drops below 0.90</t>
  </si>
  <si>
    <t xml:space="preserve">© Carlos Alberto Ruiz Brito · 14/10/2026 · Delivery con Charly Brito · carlosruizbrito.com · License CC BY 4.0 (use and adapt with attribution)</t>
  </si>
  <si>
    <t xml:space="preserve">How to use this dashboard</t>
  </si>
  <si>
    <t xml:space="preserve">15 minutes a week · fictitious sample data: delete it and enter your project's data</t>
  </si>
  <si>
    <t xml:space="preserve">Goal</t>
  </si>
  <si>
    <t xml:space="preserve">Answer four questions every week, on one page: are we on schedule?, is the money enough?, is the client accepting what we deliver? and which risks could change the outcome?</t>
  </si>
  <si>
    <t xml:space="preserve">1 · Settings</t>
  </si>
  <si>
    <t xml:space="preserve">Once: project, currency, approved budget (BAC), thresholds and even the status-light and status texts. The whole workbook adjusts itself.</t>
  </si>
  <si>
    <t xml:space="preserve">2 · Weekly tracking</t>
  </si>
  <si>
    <t xml:space="preserve">At the start: the cumulative plan for every week (baseline). Every Friday: actual progress and actual cost for the closed week. The current week is detected automatically.</t>
  </si>
  <si>
    <t xml:space="preserve">3 · Deliverables</t>
  </si>
  <si>
    <t xml:space="preserve">Status of each deliverable: Not delivered, Pending (under review), Returned or Accepted, with the date it was sent for review.</t>
  </si>
  <si>
    <t xml:space="preserve">4 · Risks</t>
  </si>
  <si>
    <t xml:space="preserve">Each risk or issue with owner, review date, trigger and response plan. Probability and impact from 1 to 5.</t>
  </si>
  <si>
    <t xml:space="preserve">5 · Dashboard</t>
  </si>
  <si>
    <t xml:space="preserve">Calculates itself. Only type the decisions you need from leadership. Print or export to PDF on one landscape page.</t>
  </si>
  <si>
    <t xml:space="preserve">Cells</t>
  </si>
  <si>
    <t xml:space="preserve">Cream with blue text = input. White = formulas: do not edit them.</t>
  </si>
  <si>
    <t xml:space="preserve">Indicators</t>
  </si>
  <si>
    <t xml:space="preserve">PV = planned value to date. EV = % actual progress × total budget. AC = actual cost. SPI = EV/PV (measures value, not time). CPI = EV/AC (cost). 1.00 = on plan.</t>
  </si>
  <si>
    <t xml:space="preserve">SPI(t)</t>
  </si>
  <si>
    <t xml:space="preserve">Earned Schedule: ES = planned periods the work done is worth. SPI(t) = ES / elapsed periods; schedule gap = ES − elapsed periods. Use it especially in the final stretch, when SPI tends to 1.00.</t>
  </si>
  <si>
    <t xml:space="preserve">Earned value rule</t>
  </si>
  <si>
    <t xml:space="preserve">In Settings choose 0/100, 50/50 or % estimate. With the weights on the Deliverables sheet, the dashboard calculates verified progress and its SPI, to compare it with the progress you entered.</t>
  </si>
  <si>
    <t xml:space="preserve">Status light</t>
  </si>
  <si>
    <t xml:space="preserve">● On track · ● At risk · ● Off track. Overall status takes the worst of the five indicators: a green dashboard with an open critical risk is not green.</t>
  </si>
  <si>
    <t xml:space="preserve">License</t>
  </si>
  <si>
    <t xml:space="preserve">CC BY 4.0: you may use, copy and adapt this template, even commercially, with attribution: Carlos Alberto Ruiz Brito · Delivery con Charly Brito · carlosruizbrito.com</t>
  </si>
  <si>
    <t xml:space="preserve">Version</t>
  </si>
  <si>
    <t xml:space="preserve">v1.1 EN · 14/10/2026 · English edition of v1.1 (SPI(t), schedule gap in time, earned value rule and weekly indices chart). Dates in DD/MM/YYYY format.</t>
  </si>
  <si>
    <t xml:space="preserve">Settings</t>
  </si>
  <si>
    <t xml:space="preserve">Everything that makes the dashboard dynamic: project, currency, thresholds and texts. Cream cells = editable.</t>
  </si>
  <si>
    <t xml:space="preserve">Parameter</t>
  </si>
  <si>
    <t xml:space="preserve">Value</t>
  </si>
  <si>
    <t xml:space="preserve">What it does</t>
  </si>
  <si>
    <t xml:space="preserve">1 · Project</t>
  </si>
  <si>
    <t xml:space="preserve">Currency</t>
  </si>
  <si>
    <t xml:space="preserve">Symbol</t>
  </si>
  <si>
    <t xml:space="preserve">Project</t>
  </si>
  <si>
    <t xml:space="preserve">Demo Project · Platform migration</t>
  </si>
  <si>
    <t xml:space="preserve">Name in the dashboard header (fictitious example)</t>
  </si>
  <si>
    <t xml:space="preserve">MXN</t>
  </si>
  <si>
    <t xml:space="preserve">$</t>
  </si>
  <si>
    <t xml:space="preserve">Client / sponsor</t>
  </si>
  <si>
    <t xml:space="preserve">Demo Client</t>
  </si>
  <si>
    <t xml:space="preserve">Fictitious example</t>
  </si>
  <si>
    <t xml:space="preserve">USD</t>
  </si>
  <si>
    <t xml:space="preserve">US$</t>
  </si>
  <si>
    <t xml:space="preserve">Report owner</t>
  </si>
  <si>
    <t xml:space="preserve">[Your name]</t>
  </si>
  <si>
    <t xml:space="preserve">Who signs the report</t>
  </si>
  <si>
    <t xml:space="preserve">EUR</t>
  </si>
  <si>
    <t xml:space="preserve">€</t>
  </si>
  <si>
    <t xml:space="preserve">Period name</t>
  </si>
  <si>
    <t xml:space="preserve">Week</t>
  </si>
  <si>
    <t xml:space="preserve">Week, Sprint, Fortnight… Used in headers and texts</t>
  </si>
  <si>
    <t xml:space="preserve">COP</t>
  </si>
  <si>
    <t xml:space="preserve">COL$</t>
  </si>
  <si>
    <t xml:space="preserve">CLP</t>
  </si>
  <si>
    <t xml:space="preserve">CLP$</t>
  </si>
  <si>
    <t xml:space="preserve">2 · Currency and budget</t>
  </si>
  <si>
    <t xml:space="preserve">PEN</t>
  </si>
  <si>
    <t xml:space="preserve">S/</t>
  </si>
  <si>
    <t xml:space="preserve">Pick from the currency table (column F); you can add others</t>
  </si>
  <si>
    <t xml:space="preserve">ARS</t>
  </si>
  <si>
    <t xml:space="preserve">AR$</t>
  </si>
  <si>
    <t xml:space="preserve">Symbol (automatic)</t>
  </si>
  <si>
    <t xml:space="preserve">Taken from the currency table</t>
  </si>
  <si>
    <t xml:space="preserve">BRL</t>
  </si>
  <si>
    <t xml:space="preserve">R$</t>
  </si>
  <si>
    <t xml:space="preserve">Total approved budget (BAC)</t>
  </si>
  <si>
    <t xml:space="preserve">Earned value base: EV = % actual progress × BAC</t>
  </si>
  <si>
    <t xml:space="preserve">GTQ</t>
  </si>
  <si>
    <t xml:space="preserve">Q</t>
  </si>
  <si>
    <t xml:space="preserve">Show amounts in</t>
  </si>
  <si>
    <t xml:space="preserve">Thousands</t>
  </si>
  <si>
    <t xml:space="preserve">Units, Thousands or Millions (dashboard and cards)</t>
  </si>
  <si>
    <t xml:space="preserve">CAD</t>
  </si>
  <si>
    <t xml:space="preserve">C$</t>
  </si>
  <si>
    <t xml:space="preserve">Divisor (automatic)</t>
  </si>
  <si>
    <t xml:space="preserve">Suffix (automatic)</t>
  </si>
  <si>
    <t xml:space="preserve">Show</t>
  </si>
  <si>
    <t xml:space="preserve">Divisor</t>
  </si>
  <si>
    <t xml:space="preserve">Suffix</t>
  </si>
  <si>
    <t xml:space="preserve">50/50</t>
  </si>
  <si>
    <t xml:space="preserve">0/100: only accepted counts · 50/50: half at start, half at acceptance · % estimate: progress reported by the owner (Deliverables sheet)</t>
  </si>
  <si>
    <t xml:space="preserve">Units</t>
  </si>
  <si>
    <t xml:space="preserve">3 · Status-light thresholds</t>
  </si>
  <si>
    <t xml:space="preserve">k</t>
  </si>
  <si>
    <t xml:space="preserve">Progress: at risk from (points behind)</t>
  </si>
  <si>
    <t xml:space="preserve">Delay against the baseline that triggers an alert</t>
  </si>
  <si>
    <t xml:space="preserve">Millions</t>
  </si>
  <si>
    <t xml:space="preserve">M</t>
  </si>
  <si>
    <t xml:space="preserve">Progress: off track from (points behind)</t>
  </si>
  <si>
    <t xml:space="preserve">SPI / CPI: at risk below</t>
  </si>
  <si>
    <t xml:space="preserve">1.00 = on plan</t>
  </si>
  <si>
    <t xml:space="preserve">SPI / CPI: off track below</t>
  </si>
  <si>
    <t xml:space="preserve">Acceptance: max days under review</t>
  </si>
  <si>
    <t xml:space="preserve">After this period, the deliverable is escalated</t>
  </si>
  <si>
    <t xml:space="preserve">Critical risk from severity</t>
  </si>
  <si>
    <t xml:space="preserve">Severity = probability × impact (1–25)</t>
  </si>
  <si>
    <t xml:space="preserve">High risk from severity</t>
  </si>
  <si>
    <t xml:space="preserve">Medium risk from severity</t>
  </si>
  <si>
    <t xml:space="preserve">Below = low</t>
  </si>
  <si>
    <t xml:space="preserve">4 · Status-light texts</t>
  </si>
  <si>
    <t xml:space="preserve">Green status</t>
  </si>
  <si>
    <t xml:space="preserve">On track</t>
  </si>
  <si>
    <t xml:space="preserve">E.g. Green, OK, En línea · change the texts before entering data</t>
  </si>
  <si>
    <t xml:space="preserve">Yellow status</t>
  </si>
  <si>
    <t xml:space="preserve">At risk</t>
  </si>
  <si>
    <t xml:space="preserve">E.g. Amber, Yellow</t>
  </si>
  <si>
    <t xml:space="preserve">Red status</t>
  </si>
  <si>
    <t xml:space="preserve">Off track</t>
  </si>
  <si>
    <t xml:space="preserve">E.g. Red, Critical</t>
  </si>
  <si>
    <t xml:space="preserve">5 · Deliverable statuses</t>
  </si>
  <si>
    <t xml:space="preserve">Not yet delivered</t>
  </si>
  <si>
    <t xml:space="preserve">Not delivered</t>
  </si>
  <si>
    <t xml:space="preserve">Change the texts BEFORE entering data</t>
  </si>
  <si>
    <t xml:space="preserve">Under client review</t>
  </si>
  <si>
    <t xml:space="preserve">Pending</t>
  </si>
  <si>
    <t xml:space="preserve">Returned with comments</t>
  </si>
  <si>
    <t xml:space="preserve">Returned</t>
  </si>
  <si>
    <t xml:space="preserve">Formally accepted</t>
  </si>
  <si>
    <t xml:space="preserve">Accepted</t>
  </si>
  <si>
    <t xml:space="preserve">6 · Risks</t>
  </si>
  <si>
    <t xml:space="preserve">Type 1</t>
  </si>
  <si>
    <t xml:space="preserve">Risk</t>
  </si>
  <si>
    <t xml:space="preserve">Has not happened yet</t>
  </si>
  <si>
    <t xml:space="preserve">Type 2</t>
  </si>
  <si>
    <t xml:space="preserve">Issue</t>
  </si>
  <si>
    <t xml:space="preserve">Has already happened</t>
  </si>
  <si>
    <t xml:space="preserve">Open status</t>
  </si>
  <si>
    <t xml:space="preserve">Open</t>
  </si>
  <si>
    <t xml:space="preserve">Closed status</t>
  </si>
  <si>
    <t xml:space="preserve">Closed</t>
  </si>
  <si>
    <t xml:space="preserve">Level 1</t>
  </si>
  <si>
    <t xml:space="preserve">Critical</t>
  </si>
  <si>
    <t xml:space="preserve">Severity ≥ critical threshold</t>
  </si>
  <si>
    <t xml:space="preserve">Level 2</t>
  </si>
  <si>
    <t xml:space="preserve">High</t>
  </si>
  <si>
    <t xml:space="preserve">Level 3</t>
  </si>
  <si>
    <t xml:space="preserve">Medium</t>
  </si>
  <si>
    <t xml:space="preserve">Level 4</t>
  </si>
  <si>
    <t xml:space="preserve">Low</t>
  </si>
  <si>
    <t xml:space="preserve">Weekly tracking</t>
  </si>
  <si>
    <t xml:space="preserve">Enter the plan (all weeks) and actuals (closed weeks only). Earned value, SPI, CPI and SPI(t) are calculated automatically.</t>
  </si>
  <si>
    <t xml:space="preserve">Cut-off date</t>
  </si>
  <si>
    <t xml:space="preserve">Planned progress (cum.)</t>
  </si>
  <si>
    <t xml:space="preserve">Actual progress (cum.)</t>
  </si>
  <si>
    <t xml:space="preserve">SPI</t>
  </si>
  <si>
    <t xml:space="preserve">CPI</t>
  </si>
  <si>
    <t xml:space="preserve">Progress variance (pts)</t>
  </si>
  <si>
    <t xml:space="preserve">ES · earned schedule</t>
  </si>
  <si>
    <t xml:space="preserve">Schedule gap (periods)</t>
  </si>
  <si>
    <t xml:space="preserve">SPI = EV / PV (value)   ·   CPI = EV / AC (cost)   ·   ES = planned periods the work done is worth   ·   SPI(t) = ES / elapsed periods (time)   ·   Gap = ES − elapsed periods</t>
  </si>
  <si>
    <t xml:space="preserve">Deliverables and acceptance</t>
  </si>
  <si>
    <t xml:space="preserve">Delivered is not accepted: each deliverable with its status, days under review and its contribution to earned value under the chosen rule.</t>
  </si>
  <si>
    <t xml:space="preserve">Deliverable</t>
  </si>
  <si>
    <t xml:space="preserve">Committed date</t>
  </si>
  <si>
    <t xml:space="preserve">Sent for review</t>
  </si>
  <si>
    <t xml:space="preserve">Acceptance date</t>
  </si>
  <si>
    <t xml:space="preserve">Days under review</t>
  </si>
  <si>
    <t xml:space="preserve">Delay vs. commitment</t>
  </si>
  <si>
    <t xml:space="preserve">Comment</t>
  </si>
  <si>
    <t xml:space="preserve">Weight (% of total)</t>
  </si>
  <si>
    <t xml:space="preserve">Estimated progress</t>
  </si>
  <si>
    <t xml:space="preserve">Contribution per rule</t>
  </si>
  <si>
    <t xml:space="preserve">E-01</t>
  </si>
  <si>
    <t xml:space="preserve">Solution design</t>
  </si>
  <si>
    <t xml:space="preserve">Architect</t>
  </si>
  <si>
    <t xml:space="preserve">Signed sign-off</t>
  </si>
  <si>
    <t xml:space="preserve">E-02</t>
  </si>
  <si>
    <t xml:space="preserve">Work plan and baseline</t>
  </si>
  <si>
    <t xml:space="preserve">PM</t>
  </si>
  <si>
    <t xml:space="preserve">E-03</t>
  </si>
  <si>
    <t xml:space="preserve">Inventory and dependencies</t>
  </si>
  <si>
    <t xml:space="preserve">Tech lead</t>
  </si>
  <si>
    <t xml:space="preserve">Delivered 3 days late</t>
  </si>
  <si>
    <t xml:space="preserve">E-04</t>
  </si>
  <si>
    <t xml:space="preserve">Migration plan</t>
  </si>
  <si>
    <t xml:space="preserve">2 client comments</t>
  </si>
  <si>
    <t xml:space="preserve">E-05</t>
  </si>
  <si>
    <t xml:space="preserve">Test environment</t>
  </si>
  <si>
    <t xml:space="preserve">Infrastructure</t>
  </si>
  <si>
    <t xml:space="preserve">No response from key user</t>
  </si>
  <si>
    <t xml:space="preserve">E-06</t>
  </si>
  <si>
    <t xml:space="preserve">Recovery testing (DR)</t>
  </si>
  <si>
    <t xml:space="preserve">E-07</t>
  </si>
  <si>
    <t xml:space="preserve">Rollback plan</t>
  </si>
  <si>
    <t xml:space="preserve">E-08</t>
  </si>
  <si>
    <t xml:space="preserve">Closure sign-off</t>
  </si>
  <si>
    <t xml:space="preserve">Totals</t>
  </si>
  <si>
    <t xml:space="preserve">Weights must add up to 100%. The contribution depends on the earned value rule (Settings).</t>
  </si>
  <si>
    <t xml:space="preserve">Risks and issues</t>
  </si>
  <si>
    <t xml:space="preserve">A risk is managed only if it has all 4 fields: owner, review date, trigger and response plan.</t>
  </si>
  <si>
    <t xml:space="preserve">Type</t>
  </si>
  <si>
    <t xml:space="preserve">Review date</t>
  </si>
  <si>
    <t xml:space="preserve">Trigger</t>
  </si>
  <si>
    <t xml:space="preserve">Prob. (1-5)</t>
  </si>
  <si>
    <t xml:space="preserve">Impact (1-5)</t>
  </si>
  <si>
    <t xml:space="preserve">Review overdue?</t>
  </si>
  <si>
    <t xml:space="preserve">key</t>
  </si>
  <si>
    <t xml:space="preserve">R-01</t>
  </si>
  <si>
    <t xml:space="preserve">Maintenance window not approved in time</t>
  </si>
  <si>
    <t xml:space="preserve">No approval 5 days before</t>
  </si>
  <si>
    <t xml:space="preserve">Escalate to client management; book an alternate window</t>
  </si>
  <si>
    <t xml:space="preserve">R-02</t>
  </si>
  <si>
    <t xml:space="preserve">Vendor licenses not delivered</t>
  </si>
  <si>
    <t xml:space="preserve">Licenses not received by 10/10</t>
  </si>
  <si>
    <t xml:space="preserve">Request temporary licenses</t>
  </si>
  <si>
    <t xml:space="preserve">P-01</t>
  </si>
  <si>
    <t xml:space="preserve">Key user unavailable for testing</t>
  </si>
  <si>
    <t xml:space="preserve">Materialized</t>
  </si>
  <si>
    <t xml:space="preserve">Agree on a substitute with the sponsor</t>
  </si>
  <si>
    <t xml:space="preserve">R-03</t>
  </si>
  <si>
    <t xml:space="preserve">Turnover in the infrastructure team</t>
  </si>
  <si>
    <t xml:space="preserve">Notice of a team member leaving</t>
  </si>
  <si>
    <t xml:space="preserve">Document and assign a backup per role</t>
  </si>
  <si>
    <t xml:space="preserve">R-04</t>
  </si>
  <si>
    <t xml:space="preserve">Delay in purchasing additional storage</t>
  </si>
  <si>
    <t xml:space="preserve">Procurement</t>
  </si>
  <si>
    <t xml:space="preserve">PO not released by 15/10</t>
  </si>
  <si>
    <t xml:space="preserve">Escalate to procurement leadership</t>
  </si>
  <si>
    <t xml:space="preserve">R-05</t>
  </si>
  <si>
    <t xml:space="preserve">Scope change in reports</t>
  </si>
  <si>
    <t xml:space="preserve">Formal client request</t>
  </si>
  <si>
    <t xml:space="preserve">Change control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</si>
</sst>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%"/>
    <numFmt numFmtId="166" formatCode="0.00"/>
    <numFmt numFmtId="167" formatCode="0"/>
    <numFmt numFmtId="168" formatCode="@"/>
    <numFmt numFmtId="169" formatCode="\+0.0;\-0.0;0.0"/>
    <numFmt numFmtId="170" formatCode="0;;&quot;&quot;"/>
    <numFmt numFmtId="171" formatCode="General"/>
    <numFmt numFmtId="172" formatCode="dd/mm/yyyy"/>
    <numFmt numFmtId="173" formatCode="#,##0,\k"/>
    <numFmt numFmtId="174" formatCode="#,##0"/>
    <numFmt numFmtId="175" formatCode="\+0%;\-0%;0%"/>
    <numFmt numFmtId="176" formatCode="0.0"/>
    <numFmt numFmtId="177" formatCode="0;;\—"/>
    <numFmt numFmtId="178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9"/>
      <color rgb="FF7FD8CF"/>
      <name val="Arial"/>
      <family val="0"/>
      <charset val="1"/>
    </font>
    <font>
      <sz val="10"/>
      <color rgb="FFC9CDEB"/>
      <name val="Arial"/>
      <family val="0"/>
      <charset val="1"/>
    </font>
    <font>
      <b val="true"/>
      <sz val="8"/>
      <color rgb="FF6A6F8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6"/>
      <color rgb="FF140A2E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8"/>
      <color rgb="FF6A6F8A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1"/>
      <color rgb="FF140A2E"/>
      <name val="Arial"/>
      <family val="0"/>
      <charset val="1"/>
    </font>
    <font>
      <sz val="8"/>
      <color rgb="FF8A8FA8"/>
      <name val="Arial"/>
      <family val="0"/>
      <charset val="1"/>
    </font>
    <font>
      <b val="true"/>
      <sz val="16"/>
      <color rgb="FF140A2E"/>
      <name val="Arial"/>
      <family val="0"/>
      <charset val="1"/>
    </font>
    <font>
      <sz val="7"/>
      <color rgb="FF8A8FA8"/>
      <name val="Arial"/>
      <family val="0"/>
      <charset val="1"/>
    </font>
    <font>
      <b val="true"/>
      <sz val="10"/>
      <color rgb="FF6A6F8A"/>
      <name val="Arial"/>
      <family val="0"/>
      <charset val="1"/>
    </font>
    <font>
      <b val="true"/>
      <sz val="12"/>
      <color rgb="FF140A2E"/>
      <name val="Arial"/>
      <family val="0"/>
      <charset val="1"/>
    </font>
    <font>
      <sz val="9"/>
      <color rgb="FF222222"/>
      <name val="Arial"/>
      <family val="0"/>
      <charset val="1"/>
    </font>
    <font>
      <sz val="9"/>
      <color rgb="FF1F3FBF"/>
      <name val="Arial"/>
      <family val="0"/>
      <charset val="1"/>
    </font>
    <font>
      <i val="true"/>
      <sz val="8"/>
      <color rgb="FF8A8FA8"/>
      <name val="Arial"/>
      <family val="0"/>
      <charset val="1"/>
    </font>
    <font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sz val="9"/>
      <color rgb="FFB9BFE6"/>
      <name val="Arial"/>
      <family val="0"/>
      <charset val="1"/>
    </font>
    <font>
      <b val="true"/>
      <sz val="10"/>
      <color rgb="FF6A0DAD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6A0DAD"/>
      <name val="Arial"/>
      <family val="0"/>
      <charset val="1"/>
    </font>
    <font>
      <b val="true"/>
      <sz val="10"/>
      <color rgb="FF1F3FB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1F3FB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9"/>
      <color rgb="FF6A6F8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0A2E"/>
        <bgColor rgb="FF000000"/>
      </patternFill>
    </fill>
    <fill>
      <patternFill patternType="solid">
        <fgColor rgb="FFF5F3FB"/>
        <bgColor rgb="FFEEEEF4"/>
      </patternFill>
    </fill>
    <fill>
      <patternFill patternType="solid">
        <fgColor rgb="FF2A1E5C"/>
        <bgColor rgb="FF222222"/>
      </patternFill>
    </fill>
    <fill>
      <patternFill patternType="solid">
        <fgColor rgb="FFFFFFFF"/>
        <bgColor rgb="FFF5F3FB"/>
      </patternFill>
    </fill>
    <fill>
      <patternFill patternType="solid">
        <fgColor rgb="FFFFF8E1"/>
        <bgColor rgb="FFFFF1CC"/>
      </patternFill>
    </fill>
    <fill>
      <patternFill patternType="solid">
        <fgColor rgb="FFEEEDF5"/>
        <bgColor rgb="FFEEEE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DD8EE"/>
      </left>
      <right style="thin">
        <color rgb="FFDDD8EE"/>
      </right>
      <top style="thin">
        <color rgb="FFDDD8EE"/>
      </top>
      <bottom/>
      <diagonal/>
    </border>
    <border diagonalUp="false" diagonalDown="false">
      <left style="thin">
        <color rgb="FFDDD8EE"/>
      </left>
      <right style="thin">
        <color rgb="FFDDD8EE"/>
      </right>
      <top/>
      <bottom/>
      <diagonal/>
    </border>
    <border diagonalUp="false" diagonalDown="false">
      <left style="thin">
        <color rgb="FFDDD8EE"/>
      </left>
      <right style="thin">
        <color rgb="FFDDD8EE"/>
      </right>
      <top/>
      <bottom style="thin">
        <color rgb="FFDDD8EE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/>
      <top/>
      <bottom style="thin">
        <color rgb="FFDDD8EE"/>
      </bottom>
      <diagonal/>
    </border>
    <border diagonalUp="false" diagonalDown="false">
      <left style="thin">
        <color rgb="FFDDD8EE"/>
      </left>
      <right style="thin">
        <color rgb="FFDDD8EE"/>
      </right>
      <top style="thin">
        <color rgb="FFDDD8EE"/>
      </top>
      <bottom style="thin">
        <color rgb="FFDDD8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9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9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8" fontId="16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16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6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6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5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2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21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7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8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30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32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21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0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0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3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3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3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3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21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1E7B4A"/>
      </font>
      <fill>
        <patternFill>
          <bgColor rgb="FFD9F2E3"/>
        </patternFill>
      </fill>
    </dxf>
    <dxf>
      <font>
        <name val="Arial"/>
        <charset val="1"/>
        <family val="0"/>
        <b val="1"/>
        <color rgb="FF8A6100"/>
      </font>
      <fill>
        <patternFill>
          <bgColor rgb="FFFFF1CC"/>
        </patternFill>
      </fill>
    </dxf>
    <dxf>
      <font>
        <name val="Arial"/>
        <charset val="1"/>
        <family val="0"/>
        <b val="1"/>
        <color rgb="FFA61B1B"/>
      </font>
      <fill>
        <patternFill>
          <bgColor rgb="FFF8D7D5"/>
        </patternFill>
      </fill>
    </dxf>
    <dxf>
      <fill>
        <patternFill>
          <bgColor rgb="FF1E7B4A"/>
        </patternFill>
      </fill>
    </dxf>
    <dxf>
      <fill>
        <patternFill>
          <bgColor rgb="FFB07D00"/>
        </patternFill>
      </fill>
    </dxf>
    <dxf>
      <fill>
        <patternFill>
          <bgColor rgb="FFB42318"/>
        </patternFill>
      </fill>
    </dxf>
    <dxf>
      <font>
        <name val="Arial"/>
        <charset val="1"/>
        <family val="0"/>
        <b val="1"/>
        <color rgb="FFA61B1B"/>
        <sz val="16"/>
      </font>
    </dxf>
    <dxf>
      <font>
        <name val="Arial"/>
        <charset val="1"/>
        <family val="0"/>
        <b val="1"/>
        <color rgb="FF8A6100"/>
        <sz val="16"/>
      </font>
    </dxf>
    <dxf>
      <fill>
        <patternFill>
          <bgColor rgb="FFF2A29B"/>
        </patternFill>
      </fill>
    </dxf>
    <dxf>
      <fill>
        <patternFill>
          <bgColor rgb="FFF9CFA4"/>
        </patternFill>
      </fill>
    </dxf>
    <dxf>
      <fill>
        <patternFill>
          <bgColor rgb="FFFCECB3"/>
        </patternFill>
      </fill>
    </dxf>
    <dxf>
      <fill>
        <patternFill>
          <bgColor rgb="FFD9F2E3"/>
        </patternFill>
      </fill>
    </dxf>
    <dxf>
      <font>
        <name val="Arial"/>
        <charset val="1"/>
        <family val="0"/>
        <b val="1"/>
        <color rgb="FFB5541B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A61B1B"/>
      </font>
    </dxf>
    <dxf>
      <font>
        <name val="Arial"/>
        <charset val="1"/>
        <family val="0"/>
        <b val="1"/>
        <color rgb="FF8A6100"/>
      </font>
    </dxf>
    <dxf>
      <font>
        <name val="Arial"/>
        <charset val="1"/>
        <family val="0"/>
        <b val="1"/>
        <color rgb="FF555577"/>
      </font>
      <fill>
        <patternFill>
          <bgColor rgb="FFEEEEF4"/>
        </patternFill>
      </fill>
    </dxf>
    <dxf>
      <font>
        <name val="Arial"/>
        <charset val="1"/>
        <family val="0"/>
        <color rgb="FFAAAAAA"/>
      </font>
    </dxf>
  </dxfs>
  <colors>
    <indexedColors>
      <rgbColor rgb="FF000000"/>
      <rgbColor rgb="FFFFFFFF"/>
      <rgbColor rgb="FFFF0000"/>
      <rgbColor rgb="FF00FF00"/>
      <rgbColor rgb="FF0000FF"/>
      <rgbColor rgb="FFFFF1CC"/>
      <rgbColor rgb="FFFF00FF"/>
      <rgbColor rgb="FFE6E3F0"/>
      <rgbColor rgb="FFA61B1B"/>
      <rgbColor rgb="FF008000"/>
      <rgbColor rgb="FF140A2E"/>
      <rgbColor rgb="FF8A6100"/>
      <rgbColor rgb="FF6A0DAD"/>
      <rgbColor rgb="FF1E7B4A"/>
      <rgbColor rgb="FFB9BCCF"/>
      <rgbColor rgb="FF878787"/>
      <rgbColor rgb="FFAAAAAA"/>
      <rgbColor rgb="FFB5541B"/>
      <rgbColor rgb="FFFFF8E1"/>
      <rgbColor rgb="FFEEEEF4"/>
      <rgbColor rgb="FF660066"/>
      <rgbColor rgb="FFF8D7D5"/>
      <rgbColor rgb="FF0077B5"/>
      <rgbColor rgb="FFC9CDEB"/>
      <rgbColor rgb="FF000080"/>
      <rgbColor rgb="FFFF00FF"/>
      <rgbColor rgb="FFFCE4D6"/>
      <rgbColor rgb="FFF5F3FB"/>
      <rgbColor rgb="FF800080"/>
      <rgbColor rgb="FF800000"/>
      <rgbColor rgb="FF008080"/>
      <rgbColor rgb="FF0000FF"/>
      <rgbColor rgb="FF00B8A9"/>
      <rgbColor rgb="FFEEEDF5"/>
      <rgbColor rgb="FFD9F2E3"/>
      <rgbColor rgb="FFFCECB3"/>
      <rgbColor rgb="FFB9BFE6"/>
      <rgbColor rgb="FFF2A29B"/>
      <rgbColor rgb="FFDDD8EE"/>
      <rgbColor rgb="FFF9CFA4"/>
      <rgbColor rgb="FF4F81BD"/>
      <rgbColor rgb="FF7FD8CF"/>
      <rgbColor rgb="FFD9D9D9"/>
      <rgbColor rgb="FFF0B429"/>
      <rgbColor rgb="FFD9822B"/>
      <rgbColor rgb="FFB07D00"/>
      <rgbColor rgb="FF6A6F8A"/>
      <rgbColor rgb="FF8A8FA8"/>
      <rgbColor rgb="FF2A1E5C"/>
      <rgbColor rgb="FF666666"/>
      <rgbColor rgb="FF003300"/>
      <rgbColor rgb="FF333300"/>
      <rgbColor rgb="FFB42318"/>
      <rgbColor rgb="FF555577"/>
      <rgbColor rgb="FF1F3FB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'Weekly Tracking'!D5</c:f>
              <c:strCache>
                <c:ptCount val="1"/>
                <c:pt idx="0">
                  <c:v>Planned progress (cum.)</c:v>
                </c:pt>
              </c:strCache>
            </c:strRef>
          </c:tx>
          <c:spPr>
            <a:solidFill>
              <a:srgbClr val="8a8fa8"/>
            </a:solidFill>
            <a:ln w="21960">
              <a:solidFill>
                <a:srgbClr val="8a8fa8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8a8f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Tracking'!$B$6:$B$17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Tracking'!$D$6:$D$17</c:f>
              <c:numCache>
                <c:formatCode>0%</c:formatCode>
                <c:ptCount val="12"/>
                <c:pt idx="0">
                  <c:v>0.03</c:v>
                </c:pt>
                <c:pt idx="1">
                  <c:v>0.08</c:v>
                </c:pt>
                <c:pt idx="2">
                  <c:v>0.15</c:v>
                </c:pt>
                <c:pt idx="3">
                  <c:v>0.24</c:v>
                </c:pt>
                <c:pt idx="4">
                  <c:v>0.34</c:v>
                </c:pt>
                <c:pt idx="5">
                  <c:v>0.45</c:v>
                </c:pt>
                <c:pt idx="6">
                  <c:v>0.56</c:v>
                </c:pt>
                <c:pt idx="7">
                  <c:v>0.67</c:v>
                </c:pt>
                <c:pt idx="8">
                  <c:v>0.77</c:v>
                </c:pt>
                <c:pt idx="9">
                  <c:v>0.86</c:v>
                </c:pt>
                <c:pt idx="10">
                  <c:v>0.94</c:v>
                </c:pt>
                <c:pt idx="1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'Weekly Tracking'!E5</c:f>
              <c:strCache>
                <c:ptCount val="1"/>
                <c:pt idx="0">
                  <c:v>Actual progress (cum.)</c:v>
                </c:pt>
              </c:strCache>
            </c:strRef>
          </c:tx>
          <c:spPr>
            <a:solidFill>
              <a:srgbClr val="6a0dad"/>
            </a:solidFill>
            <a:ln w="21960">
              <a:solidFill>
                <a:srgbClr val="6a0dad"/>
              </a:solidFill>
              <a:round/>
            </a:ln>
          </c:spPr>
          <c:marker>
            <c:symbol val="circle"/>
            <c:size val="5"/>
            <c:spPr>
              <a:solidFill>
                <a:srgbClr val="6a0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Tracking'!$B$6:$B$17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Tracking'!$E$6:$E$17</c:f>
              <c:numCache>
                <c:formatCode>0%</c:formatCode>
                <c:ptCount val="12"/>
                <c:pt idx="0">
                  <c:v>0.03</c:v>
                </c:pt>
                <c:pt idx="1">
                  <c:v>0.08</c:v>
                </c:pt>
                <c:pt idx="2">
                  <c:v>0.14</c:v>
                </c:pt>
                <c:pt idx="3">
                  <c:v>0.22</c:v>
                </c:pt>
                <c:pt idx="4">
                  <c:v>0.31</c:v>
                </c:pt>
                <c:pt idx="5">
                  <c:v>0.41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582712"/>
        <c:axId val="94709349"/>
      </c:lineChart>
      <c:catAx>
        <c:axId val="9158271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09349"/>
        <c:crosses val="autoZero"/>
        <c:auto val="1"/>
        <c:lblAlgn val="ctr"/>
        <c:lblOffset val="100"/>
        <c:noMultiLvlLbl val="0"/>
      </c:catAx>
      <c:valAx>
        <c:axId val="9470934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e6e3f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827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'Weekly Tracking'!F5</c:f>
              <c:strCache>
                <c:ptCount val="1"/>
                <c:pt idx="0">
                  <c:v>Planned cost PV (USD)</c:v>
                </c:pt>
              </c:strCache>
            </c:strRef>
          </c:tx>
          <c:spPr>
            <a:solidFill>
              <a:srgbClr val="8a8fa8"/>
            </a:solidFill>
            <a:ln w="21960">
              <a:solidFill>
                <a:srgbClr val="8a8fa8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8a8f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Tracking'!$B$6:$B$17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Tracking'!$F$6:$F$17</c:f>
              <c:numCache>
                <c:formatCode>#,##0</c:formatCode>
                <c:ptCount val="12"/>
                <c:pt idx="0">
                  <c:v>72000</c:v>
                </c:pt>
                <c:pt idx="1">
                  <c:v>192000</c:v>
                </c:pt>
                <c:pt idx="2">
                  <c:v>360000</c:v>
                </c:pt>
                <c:pt idx="3">
                  <c:v>576000</c:v>
                </c:pt>
                <c:pt idx="4">
                  <c:v>816000</c:v>
                </c:pt>
                <c:pt idx="5">
                  <c:v>1080000</c:v>
                </c:pt>
                <c:pt idx="6">
                  <c:v>1344000</c:v>
                </c:pt>
                <c:pt idx="7">
                  <c:v>1608000</c:v>
                </c:pt>
                <c:pt idx="8">
                  <c:v>1848000</c:v>
                </c:pt>
                <c:pt idx="9">
                  <c:v>2064000</c:v>
                </c:pt>
                <c:pt idx="10">
                  <c:v>2256000</c:v>
                </c:pt>
                <c:pt idx="11">
                  <c:v>2400000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'Weekly Tracking'!G5</c:f>
              <c:strCache>
                <c:ptCount val="1"/>
                <c:pt idx="0">
                  <c:v>Actual cost AC (USD)</c:v>
                </c:pt>
              </c:strCache>
            </c:strRef>
          </c:tx>
          <c:spPr>
            <a:solidFill>
              <a:srgbClr val="0077b5"/>
            </a:solidFill>
            <a:ln w="21960">
              <a:solidFill>
                <a:srgbClr val="0077b5"/>
              </a:solidFill>
              <a:round/>
            </a:ln>
          </c:spPr>
          <c:marker>
            <c:symbol val="circle"/>
            <c:size val="5"/>
            <c:spPr>
              <a:solidFill>
                <a:srgbClr val="0077b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Tracking'!$B$6:$B$17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Tracking'!$G$6:$G$17</c:f>
              <c:numCache>
                <c:formatCode>#,##0</c:formatCode>
                <c:ptCount val="12"/>
                <c:pt idx="0">
                  <c:v>72000</c:v>
                </c:pt>
                <c:pt idx="1">
                  <c:v>195000</c:v>
                </c:pt>
                <c:pt idx="2">
                  <c:v>345000</c:v>
                </c:pt>
                <c:pt idx="3">
                  <c:v>540000</c:v>
                </c:pt>
                <c:pt idx="4">
                  <c:v>760000</c:v>
                </c:pt>
                <c:pt idx="5">
                  <c:v>1000000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992698"/>
        <c:axId val="96390583"/>
      </c:lineChart>
      <c:catAx>
        <c:axId val="72992698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90583"/>
        <c:crosses val="autoZero"/>
        <c:auto val="1"/>
        <c:lblAlgn val="ctr"/>
        <c:lblOffset val="100"/>
        <c:noMultiLvlLbl val="0"/>
      </c:catAx>
      <c:valAx>
        <c:axId val="9639058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3f0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926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Dashboard!Q37</c:f>
              <c:strCache>
                <c:ptCount val="1"/>
                <c:pt idx="0">
                  <c:v>Deliverables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e7b4a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822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0b429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9bccf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Dashboard!$P$38:$P$41</c:f>
              <c:strCache>
                <c:ptCount val="4"/>
                <c:pt idx="0">
                  <c:v>Accepted</c:v>
                </c:pt>
                <c:pt idx="1">
                  <c:v>Returned</c:v>
                </c:pt>
                <c:pt idx="2">
                  <c:v>Pending</c:v>
                </c:pt>
                <c:pt idx="3">
                  <c:v>Not delivered</c:v>
                </c:pt>
              </c:strCache>
            </c:strRef>
          </c:cat>
          <c:val>
            <c:numRef>
              <c:f>Dashboard!$Q$38:$Q$41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</c:ser>
        <c:gapWidth val="60"/>
        <c:overlap val="0"/>
        <c:axId val="12032989"/>
        <c:axId val="25305457"/>
      </c:barChart>
      <c:catAx>
        <c:axId val="12032989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05457"/>
        <c:crosses val="autoZero"/>
        <c:auto val="1"/>
        <c:lblAlgn val="ctr"/>
        <c:lblOffset val="100"/>
        <c:noMultiLvlLbl val="0"/>
      </c:catAx>
      <c:valAx>
        <c:axId val="2530545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3f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32989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'Weekly Tracking'!Q5</c:f>
              <c:strCache>
                <c:ptCount val="1"/>
                <c:pt idx="0">
                  <c:v>SPI</c:v>
                </c:pt>
              </c:strCache>
            </c:strRef>
          </c:tx>
          <c:spPr>
            <a:solidFill>
              <a:srgbClr val="6a0dad"/>
            </a:solidFill>
            <a:ln w="21960">
              <a:solidFill>
                <a:srgbClr val="6a0dad"/>
              </a:solidFill>
              <a:round/>
            </a:ln>
          </c:spPr>
          <c:marker>
            <c:symbol val="circle"/>
            <c:size val="5"/>
            <c:spPr>
              <a:solidFill>
                <a:srgbClr val="6a0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Tracking'!$B$6:$B$17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Tracking'!$Q$6:$Q$17</c:f>
              <c:numCache>
                <c:formatCode>0.00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0.933333333333334</c:v>
                </c:pt>
                <c:pt idx="3">
                  <c:v>0.916666666666667</c:v>
                </c:pt>
                <c:pt idx="4">
                  <c:v>0.911764705882353</c:v>
                </c:pt>
                <c:pt idx="5">
                  <c:v>0.911111111111111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'Weekly Tracking'!R5</c:f>
              <c:strCache>
                <c:ptCount val="1"/>
                <c:pt idx="0">
                  <c:v>SPI(t)</c:v>
                </c:pt>
              </c:strCache>
            </c:strRef>
          </c:tx>
          <c:spPr>
            <a:solidFill>
              <a:srgbClr val="00b8a9"/>
            </a:solidFill>
            <a:ln w="21960">
              <a:solidFill>
                <a:srgbClr val="00b8a9"/>
              </a:solidFill>
              <a:round/>
            </a:ln>
          </c:spPr>
          <c:marker>
            <c:symbol val="circle"/>
            <c:size val="5"/>
            <c:spPr>
              <a:solidFill>
                <a:srgbClr val="00b8a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Tracking'!$B$6:$B$17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Tracking'!$R$6:$R$17</c:f>
              <c:numCache>
                <c:formatCode>0.00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0.952380952380953</c:v>
                </c:pt>
                <c:pt idx="3">
                  <c:v>0.944444444444444</c:v>
                </c:pt>
                <c:pt idx="4">
                  <c:v>0.94</c:v>
                </c:pt>
                <c:pt idx="5">
                  <c:v>0.939393939393939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'Weekly Tracking'!S5</c:f>
              <c:strCache>
                <c:ptCount val="1"/>
                <c:pt idx="0">
                  <c:v>CPI</c:v>
                </c:pt>
              </c:strCache>
            </c:strRef>
          </c:tx>
          <c:spPr>
            <a:solidFill>
              <a:srgbClr val="0077b5"/>
            </a:solidFill>
            <a:ln w="21960">
              <a:solidFill>
                <a:srgbClr val="0077b5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0077b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Tracking'!$B$6:$B$17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Tracking'!$S$6:$S$17</c:f>
              <c:numCache>
                <c:formatCode>0.00</c:formatCode>
                <c:ptCount val="12"/>
                <c:pt idx="0">
                  <c:v>1</c:v>
                </c:pt>
                <c:pt idx="1">
                  <c:v>0.984615384615385</c:v>
                </c:pt>
                <c:pt idx="2">
                  <c:v>0.973913043478261</c:v>
                </c:pt>
                <c:pt idx="3">
                  <c:v>0.977777777777778</c:v>
                </c:pt>
                <c:pt idx="4">
                  <c:v>0.978947368421053</c:v>
                </c:pt>
                <c:pt idx="5">
                  <c:v>0.984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463936"/>
        <c:axId val="70042585"/>
      </c:lineChart>
      <c:catAx>
        <c:axId val="7846393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42585"/>
        <c:crosses val="autoZero"/>
        <c:auto val="1"/>
        <c:lblAlgn val="ctr"/>
        <c:lblOffset val="100"/>
        <c:noMultiLvlLbl val="0"/>
      </c:catAx>
      <c:valAx>
        <c:axId val="70042585"/>
        <c:scaling>
          <c:orientation val="minMax"/>
          <c:max val="1.2"/>
          <c:min val="0.6"/>
        </c:scaling>
        <c:delete val="0"/>
        <c:axPos val="l"/>
        <c:majorGridlines>
          <c:spPr>
            <a:ln w="9360">
              <a:solidFill>
                <a:srgbClr val="e6e3f0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639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zero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7</xdr:col>
      <xdr:colOff>29880</xdr:colOff>
      <xdr:row>32</xdr:row>
      <xdr:rowOff>114480</xdr:rowOff>
    </xdr:to>
    <xdr:graphicFrame>
      <xdr:nvGraphicFramePr>
        <xdr:cNvPr id="0" name="Chart 1"/>
        <xdr:cNvGraphicFramePr/>
      </xdr:nvGraphicFramePr>
      <xdr:xfrm>
        <a:off x="141120" y="4019400"/>
        <a:ext cx="4895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13</xdr:col>
      <xdr:colOff>30240</xdr:colOff>
      <xdr:row>32</xdr:row>
      <xdr:rowOff>114480</xdr:rowOff>
    </xdr:to>
    <xdr:graphicFrame>
      <xdr:nvGraphicFramePr>
        <xdr:cNvPr id="1" name="Chart 2"/>
        <xdr:cNvGraphicFramePr/>
      </xdr:nvGraphicFramePr>
      <xdr:xfrm>
        <a:off x="5006520" y="4019400"/>
        <a:ext cx="4895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29880</xdr:colOff>
      <xdr:row>43</xdr:row>
      <xdr:rowOff>122760</xdr:rowOff>
    </xdr:to>
    <xdr:graphicFrame>
      <xdr:nvGraphicFramePr>
        <xdr:cNvPr id="2" name="Chart 3"/>
        <xdr:cNvGraphicFramePr/>
      </xdr:nvGraphicFramePr>
      <xdr:xfrm>
        <a:off x="141120" y="7257960"/>
        <a:ext cx="4895280" cy="212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14</xdr:col>
      <xdr:colOff>63720</xdr:colOff>
      <xdr:row>60</xdr:row>
      <xdr:rowOff>17280</xdr:rowOff>
    </xdr:to>
    <xdr:graphicFrame>
      <xdr:nvGraphicFramePr>
        <xdr:cNvPr id="3" name="Chart 4"/>
        <xdr:cNvGraphicFramePr/>
      </xdr:nvGraphicFramePr>
      <xdr:xfrm>
        <a:off x="141120" y="10210680"/>
        <a:ext cx="9935280" cy="230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1.5"/>
    <col collapsed="false" customWidth="true" hidden="false" outlineLevel="0" max="14" min="14" style="1" width="2"/>
    <col collapsed="false" customWidth="true" hidden="true" outlineLevel="0" max="17" min="16" style="1" width="13"/>
  </cols>
  <sheetData>
    <row r="1" customFormat="false" ht="33.75" hidden="false" customHeight="true" outlineLevel="0" collapsed="false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4" t="s">
        <v>1</v>
      </c>
      <c r="L1" s="4"/>
      <c r="M1" s="4"/>
      <c r="N1" s="2"/>
    </row>
    <row r="2" customFormat="false" ht="19.5" hidden="false" customHeight="true" outlineLevel="0" collapsed="false">
      <c r="A2" s="2"/>
      <c r="B2" s="5" t="str">
        <f aca="false">Settings!$C$7&amp;"  ·  "&amp;Settings!$C$8&amp;"  ·  Cut-off: "&amp;TEXT(INDEX('Weekly Tracking'!$C$6:$C$29,COUNT('Weekly Tracking'!$E$6:$E$29)),"DD/MM/YYYY")&amp;"  ·  "&amp;Settings!$C$10&amp;" "&amp;COUNT('Weekly Tracking'!$E$6:$E$29)&amp;" of "&amp;COUNT('Weekly Tracking'!$D$6:$D$29)&amp;"  ·  "&amp;Settings!$C$9</f>
        <v>Demo Project · Platform migration  ·  Demo Client  ·  Cut-off: 02/10/2026  ·  Week 6 of 12  ·  [Your name]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9.75" hidden="false" customHeight="true" outlineLevel="0" collapsed="false"/>
    <row r="5" customFormat="false" ht="15.75" hidden="false" customHeight="true" outlineLevel="0" collapsed="false">
      <c r="B5" s="6" t="s">
        <v>2</v>
      </c>
      <c r="C5" s="6"/>
      <c r="D5" s="6" t="s">
        <v>3</v>
      </c>
      <c r="E5" s="6"/>
      <c r="F5" s="6" t="s">
        <v>4</v>
      </c>
      <c r="G5" s="6"/>
      <c r="H5" s="6" t="s">
        <v>5</v>
      </c>
      <c r="I5" s="6"/>
      <c r="J5" s="6" t="s">
        <v>6</v>
      </c>
      <c r="K5" s="6"/>
      <c r="L5" s="7" t="s">
        <v>7</v>
      </c>
      <c r="M5" s="7"/>
    </row>
    <row r="6" customFormat="false" ht="21.75" hidden="false" customHeight="true" outlineLevel="0" collapsed="false">
      <c r="B6" s="8" t="n">
        <f aca="false">INDEX('Weekly Tracking'!$E$6:$E$29,COUNT('Weekly Tracking'!$E$6:$E$29))</f>
        <v>0.41</v>
      </c>
      <c r="C6" s="8"/>
      <c r="D6" s="9" t="n">
        <f aca="false">INDEX('Weekly Tracking'!$I$6:$I$29,COUNT('Weekly Tracking'!$E$6:$E$29))</f>
        <v>0.911111111111111</v>
      </c>
      <c r="E6" s="9"/>
      <c r="F6" s="9" t="n">
        <f aca="false">INDEX('Weekly Tracking'!$J$6:$J$29,COUNT('Weekly Tracking'!$E$6:$E$29))</f>
        <v>0.984</v>
      </c>
      <c r="G6" s="9"/>
      <c r="H6" s="8" t="n">
        <f aca="false">IF(COUNTA(Deliverables!$C$6:$C$35)-COUNTIF(Deliverables!$G$6:$G$35,Settings!$C$36)=0,"",COUNTIF(Deliverables!$G$6:$G$35,Settings!$C$39)/(COUNTA(Deliverables!$C$6:$C$35)-COUNTIF(Deliverables!$G$6:$G$35,Settings!$C$36)))</f>
        <v>0.6</v>
      </c>
      <c r="I6" s="8"/>
      <c r="J6" s="10" t="n">
        <f aca="false">COUNTIF(Risks!$M$6:$M$35,Settings!$C$44)</f>
        <v>5</v>
      </c>
      <c r="K6" s="10"/>
      <c r="L6" s="11" t="str">
        <f aca="false">IF(COUNTIF(B9:K9,"*"&amp;Settings!$C$33&amp;"*")&gt;0,Settings!$C$33,IF(COUNTIF(B9:K9,"*"&amp;Settings!$C$32&amp;"*")&gt;0,Settings!$C$32,Settings!$C$31))</f>
        <v>Off track</v>
      </c>
      <c r="M6" s="11"/>
    </row>
    <row r="7" customFormat="false" ht="21.75" hidden="false" customHeight="true" outlineLevel="0" collapsed="false">
      <c r="B7" s="8"/>
      <c r="C7" s="8"/>
      <c r="D7" s="9"/>
      <c r="E7" s="9"/>
      <c r="F7" s="9"/>
      <c r="G7" s="9"/>
      <c r="H7" s="8"/>
      <c r="I7" s="8"/>
      <c r="J7" s="10"/>
      <c r="K7" s="10"/>
      <c r="L7" s="11"/>
      <c r="M7" s="11"/>
    </row>
    <row r="8" customFormat="false" ht="15.75" hidden="false" customHeight="true" outlineLevel="0" collapsed="false">
      <c r="B8" s="12" t="str">
        <f aca="false">"Plan "&amp;TEXT(INDEX('Weekly Tracking'!$D$6:$D$29,COUNT('Weekly Tracking'!$E$6:$E$29)),"0%")&amp;"  ·  "&amp;TEXT(INDEX('Weekly Tracking'!$K$6:$K$29,COUNT('Weekly Tracking'!$E$6:$E$29))*100,"+0;-0;0")&amp;" pts"</f>
        <v>Plan 45%  ·  -4 pts</v>
      </c>
      <c r="C8" s="12"/>
      <c r="D8" s="12" t="str">
        <f aca="false">"EV / PV  ·  1.00 = on plan"</f>
        <v>EV / PV  ·  1.00 = on plan</v>
      </c>
      <c r="E8" s="12"/>
      <c r="F8" s="12" t="str">
        <f aca="false">"EV "&amp;Settings!$C$14&amp;TEXT(INDEX('Weekly Tracking'!$H$6:$H$29,COUNT('Weekly Tracking'!$E$6:$E$29))/Settings!$C$17,IF(Settings!$C$17&gt;=1000000,"#,##0.0","#,##0"))&amp;Settings!$C$18&amp;" · AC "&amp;Settings!$C$14&amp;TEXT(INDEX('Weekly Tracking'!$G$6:$G$29,COUNT('Weekly Tracking'!$E$6:$E$29))/Settings!$C$17,IF(Settings!$C$17&gt;=1000000,"#,##0.0","#,##0"))&amp;Settings!$C$18</f>
        <v>EV US$984k · AC US$1,000k</v>
      </c>
      <c r="G8" s="12"/>
      <c r="H8" s="12" t="str">
        <f aca="false">COUNTIF(Deliverables!$G$6:$G$35,Settings!$C$39)&amp;" of "&amp;(COUNTA(Deliverables!$C$6:$C$35)-COUNTIF(Deliverables!$G$6:$G$35,Settings!$C$36))&amp;" delivered  ·  "&amp;COUNTIF(Deliverables!$I$6:$I$35,"&gt;"&amp;Settings!$C$25)&amp;" overdue"</f>
        <v>3 of 5 delivered  ·  1 overdue</v>
      </c>
      <c r="I8" s="12"/>
      <c r="J8" s="12" t="str">
        <f aca="false">COUNTIFS(Risks!$M$6:$M$35,Settings!$C$44,Risks!$L$6:$L$35,Settings!$C$46)&amp;" critical · "&amp;COUNTIFS(Risks!$M$6:$M$35,Settings!$C$44,Risks!$N$6:$N$35,"No")&amp;" missing 4 fields"</f>
        <v>2 critical · 1 missing 4 fields</v>
      </c>
      <c r="K8" s="12"/>
      <c r="L8" s="11"/>
      <c r="M8" s="11"/>
    </row>
    <row r="9" customFormat="false" ht="19.5" hidden="false" customHeight="true" outlineLevel="0" collapsed="false">
      <c r="B9" s="13" t="str">
        <f aca="false">IF(-INDEX('Weekly Tracking'!$K$6:$K$29,COUNT('Weekly Tracking'!$E$6:$E$29))&gt;=Settings!$C$22,"● "&amp;Settings!$C$33,IF(-INDEX('Weekly Tracking'!$K$6:$K$29,COUNT('Weekly Tracking'!$E$6:$E$29))&gt;=Settings!$C$21,"● "&amp;Settings!$C$32,"● "&amp;Settings!$C$31))</f>
        <v>● On track</v>
      </c>
      <c r="C9" s="13"/>
      <c r="D9" s="13" t="str">
        <f aca="false">IF(D6&lt;Settings!$C$24,"● "&amp;Settings!$C$33,IF(D6&lt;Settings!$C$23,"● "&amp;Settings!$C$32,"● "&amp;Settings!$C$31))</f>
        <v>● At risk</v>
      </c>
      <c r="E9" s="13"/>
      <c r="F9" s="13" t="str">
        <f aca="false">IF(F6&lt;Settings!$C$24,"● "&amp;Settings!$C$33,IF(F6&lt;Settings!$C$23,"● "&amp;Settings!$C$32,"● "&amp;Settings!$C$31))</f>
        <v>● On track</v>
      </c>
      <c r="G9" s="13"/>
      <c r="H9" s="13" t="str">
        <f aca="false">IF(COUNTIF(Deliverables!$I$6:$I$35,"&gt;"&amp;Settings!$C$25)&gt;0,"● "&amp;Settings!$C$33,IF(COUNTIF(Deliverables!$G$6:$G$35,Settings!$C$38)&gt;0,"● "&amp;Settings!$C$32,"● "&amp;Settings!$C$31))</f>
        <v>● Off track</v>
      </c>
      <c r="I9" s="13"/>
      <c r="J9" s="13" t="str">
        <f aca="false">IF(COUNTIFS(Risks!$M$6:$M$35,Settings!$C$44,Risks!$L$6:$L$35,Settings!$C$46)&gt;0,"● "&amp;Settings!$C$33,IF(OR(COUNTIFS(Risks!$M$6:$M$35,Settings!$C$44,Risks!$N$6:$N$35,"No")&gt;0,COUNTIF(Risks!$O$6:$O$35,"Yes")&gt;0,COUNTIFS(Risks!$M$6:$M$35,Settings!$C$44,Risks!$L$6:$L$35,Settings!$C$47)&gt;0),"● "&amp;Settings!$C$32,"● "&amp;Settings!$C$31))</f>
        <v>● Off track</v>
      </c>
      <c r="K9" s="13"/>
      <c r="L9" s="14" t="str">
        <f aca="false">COUNTIF(B9:K9,"*"&amp;Settings!$C$33&amp;"*")&amp;" "&amp;LOWER(Settings!$C$33)&amp;" · "&amp;COUNTIF(B9:K9,"*"&amp;Settings!$C$32&amp;"*")&amp;" "&amp;LOWER(Settings!$C$32)</f>
        <v>2 off track · 1 at risk</v>
      </c>
      <c r="M9" s="14"/>
    </row>
    <row r="10" customFormat="false" ht="9.75" hidden="false" customHeight="true" outlineLevel="0" collapsed="false"/>
    <row r="11" customFormat="false" ht="15" hidden="false" customHeight="false" outlineLevel="0" collapsed="false">
      <c r="B11" s="15" t="s">
        <v>8</v>
      </c>
    </row>
    <row r="12" customFormat="false" ht="15" hidden="false" customHeight="false" outlineLevel="0" collapsed="false">
      <c r="B12" s="16" t="s">
        <v>9</v>
      </c>
    </row>
    <row r="13" customFormat="false" ht="15.75" hidden="false" customHeight="true" outlineLevel="0" collapsed="false">
      <c r="B13" s="17" t="s">
        <v>10</v>
      </c>
      <c r="C13" s="17"/>
      <c r="D13" s="17" t="s">
        <v>11</v>
      </c>
      <c r="E13" s="17"/>
      <c r="F13" s="17" t="s">
        <v>12</v>
      </c>
      <c r="G13" s="17"/>
      <c r="H13" s="17" t="s">
        <v>13</v>
      </c>
      <c r="I13" s="17"/>
      <c r="J13" s="17" t="s">
        <v>14</v>
      </c>
      <c r="K13" s="17"/>
      <c r="L13" s="17" t="s">
        <v>15</v>
      </c>
      <c r="M13" s="17"/>
    </row>
    <row r="14" customFormat="false" ht="25.5" hidden="false" customHeight="true" outlineLevel="0" collapsed="false">
      <c r="B14" s="18" t="str">
        <f aca="false">Settings!$C$14&amp;TEXT(INDEX('Weekly Tracking'!$F$6:$F$29,COUNT('Weekly Tracking'!$E$6:$E$29))/Settings!$C$17,IF(Settings!$C$17&gt;=1000000,"#,##0.0","#,##0"))&amp;Settings!$C$18</f>
        <v>US$1,080k</v>
      </c>
      <c r="C14" s="18"/>
      <c r="D14" s="18" t="str">
        <f aca="false">Settings!$C$14&amp;TEXT(INDEX('Weekly Tracking'!$H$6:$H$29,COUNT('Weekly Tracking'!$E$6:$E$29))/Settings!$C$17,IF(Settings!$C$17&gt;=1000000,"#,##0.0","#,##0"))&amp;Settings!$C$18</f>
        <v>US$984k</v>
      </c>
      <c r="E14" s="18"/>
      <c r="F14" s="18" t="str">
        <f aca="false">Settings!$C$14&amp;TEXT(INDEX('Weekly Tracking'!$G$6:$G$29,COUNT('Weekly Tracking'!$E$6:$E$29))/Settings!$C$17,IF(Settings!$C$17&gt;=1000000,"#,##0.0","#,##0"))&amp;Settings!$C$18</f>
        <v>US$1,000k</v>
      </c>
      <c r="G14" s="18"/>
      <c r="H14" s="19" t="n">
        <f aca="false">INDEX('Weekly Tracking'!$N$6:$N$29,COUNT('Weekly Tracking'!$E$6:$E$29))</f>
        <v>0.939393939393939</v>
      </c>
      <c r="I14" s="19"/>
      <c r="J14" s="20" t="n">
        <f aca="false">INDEX('Weekly Tracking'!$O$6:$O$29,COUNT('Weekly Tracking'!$E$6:$E$29))</f>
        <v>-0.363636363636364</v>
      </c>
      <c r="K14" s="20"/>
      <c r="L14" s="21" t="n">
        <f aca="false">SUM(Deliverables!$N$6:$N$35)</f>
        <v>0.4</v>
      </c>
      <c r="M14" s="21"/>
    </row>
    <row r="15" customFormat="false" ht="15.75" hidden="false" customHeight="true" outlineLevel="0" collapsed="false">
      <c r="B15" s="22" t="str">
        <f aca="false">"Value that should be done"</f>
        <v>Value that should be done</v>
      </c>
      <c r="C15" s="22"/>
      <c r="D15" s="22" t="str">
        <f aca="false">"Actual progress "&amp;TEXT(INDEX('Weekly Tracking'!$E$6:$E$29,COUNT('Weekly Tracking'!$E$6:$E$29)),"0%")&amp;" × budget"</f>
        <v>Actual progress 41% × budget</v>
      </c>
      <c r="E15" s="22"/>
      <c r="F15" s="22" t="str">
        <f aca="false">"Spent to date"</f>
        <v>Spent to date</v>
      </c>
      <c r="G15" s="22"/>
      <c r="H15" s="22" t="str">
        <f aca="false">"ES / elapsed periods"</f>
        <v>ES / elapsed periods</v>
      </c>
      <c r="I15" s="22"/>
      <c r="J15" s="22" t="str">
        <f aca="false">"ES "&amp;TEXT(INDEX('Weekly Tracking'!$M$6:$M$29,COUNT('Weekly Tracking'!$E$6:$E$29)),"0.0")&amp;" of "&amp;COUNT('Weekly Tracking'!$E$6:$E$29)&amp;" "&amp;LOWER(Settings!$C$10)&amp;"(s)"</f>
        <v>ES 5.6 of 6 week(s)</v>
      </c>
      <c r="K15" s="22"/>
      <c r="L15" s="22" t="str">
        <f aca="false">"Rule "&amp;Settings!$C$19&amp;" · SPI "&amp;TEXT(SUM(Deliverables!$N$6:$N$35)*Settings!$C$15/INDEX('Weekly Tracking'!$F$6:$F$29,COUNT('Weekly Tracking'!$E$6:$E$29)),"0.00")</f>
        <v>Rule 50/50 · SPI 0.89</v>
      </c>
      <c r="M15" s="22"/>
    </row>
    <row r="16" customFormat="false" ht="9.75" hidden="false" customHeight="true" outlineLevel="0" collapsed="false"/>
    <row r="18" customFormat="false" ht="15" hidden="false" customHeight="false" outlineLevel="0" collapsed="false">
      <c r="B18" s="15" t="s">
        <v>16</v>
      </c>
      <c r="H18" s="15" t="s">
        <v>17</v>
      </c>
    </row>
    <row r="19" customFormat="false" ht="15" hidden="false" customHeight="false" outlineLevel="0" collapsed="false">
      <c r="B19" s="16" t="s">
        <v>18</v>
      </c>
      <c r="H19" s="16" t="str">
        <f aca="false">"Plan (PV) vs. actual cost (AC), in "&amp;Settings!$C$13&amp;" (axis in thousands)."</f>
        <v>Plan (PV) vs. actual cost (AC), in USD (axis in thousands).</v>
      </c>
    </row>
    <row r="35" customFormat="false" ht="15" hidden="false" customHeight="false" outlineLevel="0" collapsed="false">
      <c r="B35" s="15" t="s">
        <v>19</v>
      </c>
      <c r="H35" s="15" t="s">
        <v>20</v>
      </c>
    </row>
    <row r="36" customFormat="false" ht="15" hidden="false" customHeight="false" outlineLevel="0" collapsed="false">
      <c r="B36" s="16" t="s">
        <v>21</v>
      </c>
      <c r="H36" s="16" t="s">
        <v>22</v>
      </c>
    </row>
    <row r="37" customFormat="false" ht="15" hidden="false" customHeight="false" outlineLevel="0" collapsed="false">
      <c r="H37" s="23" t="s">
        <v>23</v>
      </c>
      <c r="P37" s="24" t="s">
        <v>24</v>
      </c>
      <c r="Q37" s="24" t="s">
        <v>25</v>
      </c>
    </row>
    <row r="38" customFormat="false" ht="25.5" hidden="false" customHeight="true" outlineLevel="0" collapsed="false">
      <c r="H38" s="25" t="n">
        <v>5</v>
      </c>
      <c r="I38" s="26" t="n">
        <f aca="false">COUNTIFS(Risks!$I$6:$I$35,$H38,Risks!$J$6:$J$35,I$43,Risks!$M$6:$M$35,Settings!$C$44)</f>
        <v>0</v>
      </c>
      <c r="J38" s="26" t="n">
        <f aca="false">COUNTIFS(Risks!$I$6:$I$35,$H38,Risks!$J$6:$J$35,J$43,Risks!$M$6:$M$35,Settings!$C$44)</f>
        <v>0</v>
      </c>
      <c r="K38" s="26" t="n">
        <f aca="false">COUNTIFS(Risks!$I$6:$I$35,$H38,Risks!$J$6:$J$35,K$43,Risks!$M$6:$M$35,Settings!$C$44)</f>
        <v>1</v>
      </c>
      <c r="L38" s="26" t="n">
        <f aca="false">COUNTIFS(Risks!$I$6:$I$35,$H38,Risks!$J$6:$J$35,L$43,Risks!$M$6:$M$35,Settings!$C$44)</f>
        <v>0</v>
      </c>
      <c r="M38" s="26" t="n">
        <f aca="false">COUNTIFS(Risks!$I$6:$I$35,$H38,Risks!$J$6:$J$35,M$43,Risks!$M$6:$M$35,Settings!$C$44)</f>
        <v>0</v>
      </c>
      <c r="P38" s="1" t="str">
        <f aca="false">Settings!$C$39</f>
        <v>Accepted</v>
      </c>
      <c r="Q38" s="24" t="n">
        <f aca="false">COUNTIF(Deliverables!$G$6:$G$35,Settings!$C$39)</f>
        <v>3</v>
      </c>
    </row>
    <row r="39" customFormat="false" ht="25.5" hidden="false" customHeight="true" outlineLevel="0" collapsed="false">
      <c r="H39" s="25" t="n">
        <v>4</v>
      </c>
      <c r="I39" s="26" t="n">
        <f aca="false">COUNTIFS(Risks!$I$6:$I$35,$H39,Risks!$J$6:$J$35,I$43,Risks!$M$6:$M$35,Settings!$C$44)</f>
        <v>0</v>
      </c>
      <c r="J39" s="26" t="n">
        <f aca="false">COUNTIFS(Risks!$I$6:$I$35,$H39,Risks!$J$6:$J$35,J$43,Risks!$M$6:$M$35,Settings!$C$44)</f>
        <v>0</v>
      </c>
      <c r="K39" s="26" t="n">
        <f aca="false">COUNTIFS(Risks!$I$6:$I$35,$H39,Risks!$J$6:$J$35,K$43,Risks!$M$6:$M$35,Settings!$C$44)</f>
        <v>0</v>
      </c>
      <c r="L39" s="26" t="n">
        <f aca="false">COUNTIFS(Risks!$I$6:$I$35,$H39,Risks!$J$6:$J$35,L$43,Risks!$M$6:$M$35,Settings!$C$44)</f>
        <v>1</v>
      </c>
      <c r="M39" s="26" t="n">
        <f aca="false">COUNTIFS(Risks!$I$6:$I$35,$H39,Risks!$J$6:$J$35,M$43,Risks!$M$6:$M$35,Settings!$C$44)</f>
        <v>0</v>
      </c>
      <c r="P39" s="1" t="str">
        <f aca="false">Settings!$C$38</f>
        <v>Returned</v>
      </c>
      <c r="Q39" s="24" t="n">
        <f aca="false">COUNTIF(Deliverables!$G$6:$G$35,Settings!$C$38)</f>
        <v>1</v>
      </c>
    </row>
    <row r="40" customFormat="false" ht="25.5" hidden="false" customHeight="true" outlineLevel="0" collapsed="false">
      <c r="H40" s="25" t="n">
        <v>3</v>
      </c>
      <c r="I40" s="26" t="n">
        <f aca="false">COUNTIFS(Risks!$I$6:$I$35,$H40,Risks!$J$6:$J$35,I$43,Risks!$M$6:$M$35,Settings!$C$44)</f>
        <v>0</v>
      </c>
      <c r="J40" s="26" t="n">
        <f aca="false">COUNTIFS(Risks!$I$6:$I$35,$H40,Risks!$J$6:$J$35,J$43,Risks!$M$6:$M$35,Settings!$C$44)</f>
        <v>0</v>
      </c>
      <c r="K40" s="26" t="n">
        <f aca="false">COUNTIFS(Risks!$I$6:$I$35,$H40,Risks!$J$6:$J$35,K$43,Risks!$M$6:$M$35,Settings!$C$44)</f>
        <v>1</v>
      </c>
      <c r="L40" s="26" t="n">
        <f aca="false">COUNTIFS(Risks!$I$6:$I$35,$H40,Risks!$J$6:$J$35,L$43,Risks!$M$6:$M$35,Settings!$C$44)</f>
        <v>0</v>
      </c>
      <c r="M40" s="26" t="n">
        <f aca="false">COUNTIFS(Risks!$I$6:$I$35,$H40,Risks!$J$6:$J$35,M$43,Risks!$M$6:$M$35,Settings!$C$44)</f>
        <v>0</v>
      </c>
      <c r="P40" s="1" t="str">
        <f aca="false">Settings!$C$37</f>
        <v>Pending</v>
      </c>
      <c r="Q40" s="24" t="n">
        <f aca="false">COUNTIF(Deliverables!$G$6:$G$35,Settings!$C$37)</f>
        <v>1</v>
      </c>
    </row>
    <row r="41" customFormat="false" ht="25.5" hidden="false" customHeight="true" outlineLevel="0" collapsed="false">
      <c r="H41" s="25" t="n">
        <v>2</v>
      </c>
      <c r="I41" s="26" t="n">
        <f aca="false">COUNTIFS(Risks!$I$6:$I$35,$H41,Risks!$J$6:$J$35,I$43,Risks!$M$6:$M$35,Settings!$C$44)</f>
        <v>0</v>
      </c>
      <c r="J41" s="26" t="n">
        <f aca="false">COUNTIFS(Risks!$I$6:$I$35,$H41,Risks!$J$6:$J$35,J$43,Risks!$M$6:$M$35,Settings!$C$44)</f>
        <v>0</v>
      </c>
      <c r="K41" s="26" t="n">
        <f aca="false">COUNTIFS(Risks!$I$6:$I$35,$H41,Risks!$J$6:$J$35,K$43,Risks!$M$6:$M$35,Settings!$C$44)</f>
        <v>1</v>
      </c>
      <c r="L41" s="26" t="n">
        <f aca="false">COUNTIFS(Risks!$I$6:$I$35,$H41,Risks!$J$6:$J$35,L$43,Risks!$M$6:$M$35,Settings!$C$44)</f>
        <v>1</v>
      </c>
      <c r="M41" s="26" t="n">
        <f aca="false">COUNTIFS(Risks!$I$6:$I$35,$H41,Risks!$J$6:$J$35,M$43,Risks!$M$6:$M$35,Settings!$C$44)</f>
        <v>0</v>
      </c>
      <c r="P41" s="1" t="str">
        <f aca="false">Settings!$C$36</f>
        <v>Not delivered</v>
      </c>
      <c r="Q41" s="24" t="n">
        <f aca="false">COUNTIF(Deliverables!$G$6:$G$35,Settings!$C$36)</f>
        <v>3</v>
      </c>
    </row>
    <row r="42" customFormat="false" ht="25.5" hidden="false" customHeight="true" outlineLevel="0" collapsed="false">
      <c r="H42" s="25" t="n">
        <v>1</v>
      </c>
      <c r="I42" s="26" t="n">
        <f aca="false">COUNTIFS(Risks!$I$6:$I$35,$H42,Risks!$J$6:$J$35,I$43,Risks!$M$6:$M$35,Settings!$C$44)</f>
        <v>0</v>
      </c>
      <c r="J42" s="26" t="n">
        <f aca="false">COUNTIFS(Risks!$I$6:$I$35,$H42,Risks!$J$6:$J$35,J$43,Risks!$M$6:$M$35,Settings!$C$44)</f>
        <v>0</v>
      </c>
      <c r="K42" s="26" t="n">
        <f aca="false">COUNTIFS(Risks!$I$6:$I$35,$H42,Risks!$J$6:$J$35,K$43,Risks!$M$6:$M$35,Settings!$C$44)</f>
        <v>0</v>
      </c>
      <c r="L42" s="26" t="n">
        <f aca="false">COUNTIFS(Risks!$I$6:$I$35,$H42,Risks!$J$6:$J$35,L$43,Risks!$M$6:$M$35,Settings!$C$44)</f>
        <v>0</v>
      </c>
      <c r="M42" s="26" t="n">
        <f aca="false">COUNTIFS(Risks!$I$6:$I$35,$H42,Risks!$J$6:$J$35,M$43,Risks!$M$6:$M$35,Settings!$C$44)</f>
        <v>0</v>
      </c>
    </row>
    <row r="43" customFormat="false" ht="15" hidden="false" customHeight="false" outlineLevel="0" collapsed="false">
      <c r="I43" s="27" t="n">
        <v>1</v>
      </c>
      <c r="J43" s="27" t="n">
        <v>2</v>
      </c>
      <c r="K43" s="27" t="n">
        <v>3</v>
      </c>
      <c r="L43" s="27" t="n">
        <v>4</v>
      </c>
      <c r="M43" s="27" t="n">
        <v>5</v>
      </c>
    </row>
    <row r="45" customFormat="false" ht="15" hidden="false" customHeight="false" outlineLevel="0" collapsed="false">
      <c r="I45" s="23" t="s">
        <v>26</v>
      </c>
    </row>
    <row r="47" customFormat="false" ht="15" hidden="false" customHeight="false" outlineLevel="0" collapsed="false">
      <c r="B47" s="15" t="s">
        <v>27</v>
      </c>
    </row>
    <row r="48" customFormat="false" ht="15" hidden="false" customHeight="false" outlineLevel="0" collapsed="false">
      <c r="B48" s="16" t="s">
        <v>28</v>
      </c>
    </row>
    <row r="62" customFormat="false" ht="15" hidden="false" customHeight="false" outlineLevel="0" collapsed="false">
      <c r="B62" s="15" t="s">
        <v>29</v>
      </c>
    </row>
    <row r="63" customFormat="false" ht="15" hidden="false" customHeight="false" outlineLevel="0" collapsed="false">
      <c r="B63" s="16" t="s">
        <v>30</v>
      </c>
    </row>
    <row r="64" customFormat="false" ht="19.5" hidden="false" customHeight="true" outlineLevel="0" collapsed="false">
      <c r="B64" s="28" t="s">
        <v>31</v>
      </c>
      <c r="C64" s="7" t="s">
        <v>32</v>
      </c>
      <c r="D64" s="7"/>
      <c r="E64" s="7"/>
      <c r="F64" s="7" t="s">
        <v>33</v>
      </c>
      <c r="G64" s="7"/>
      <c r="H64" s="7" t="s">
        <v>34</v>
      </c>
      <c r="I64" s="7"/>
      <c r="J64" s="7"/>
      <c r="K64" s="28" t="s">
        <v>35</v>
      </c>
      <c r="L64" s="28" t="s">
        <v>36</v>
      </c>
      <c r="M64" s="28" t="s">
        <v>37</v>
      </c>
    </row>
    <row r="65" customFormat="false" ht="27.75" hidden="false" customHeight="true" outlineLevel="0" collapsed="false">
      <c r="B65" s="29" t="str">
        <f aca="false">IF(LARGE(Risks!$P$6:$P$35,1)=0,"",INDEX(Risks!$B$6:$B$35,MATCH(LARGE(Risks!$P$6:$P$35,1),Risks!$P$6:$P$35,0))&amp;"")</f>
        <v>R-01</v>
      </c>
      <c r="C65" s="30" t="str">
        <f aca="false">IF(LARGE(Risks!$P$6:$P$35,1)=0,"",INDEX(Risks!$D$6:$D$35,MATCH(LARGE(Risks!$P$6:$P$35,1),Risks!$P$6:$P$35,0))&amp;"")</f>
        <v>Maintenance window not approved in time</v>
      </c>
      <c r="D65" s="30"/>
      <c r="E65" s="30"/>
      <c r="F65" s="30" t="str">
        <f aca="false">IF(LARGE(Risks!$P$6:$P$35,1)=0,"",INDEX(Risks!$E$6:$E$35,MATCH(LARGE(Risks!$P$6:$P$35,1),Risks!$P$6:$P$35,0))&amp;"")</f>
        <v>Tech lead</v>
      </c>
      <c r="G65" s="30"/>
      <c r="H65" s="30" t="str">
        <f aca="false">IF(LARGE(Risks!$P$6:$P$35,1)=0,"",INDEX(Risks!$H$6:$H$35,MATCH(LARGE(Risks!$P$6:$P$35,1),Risks!$P$6:$P$35,0))&amp;"")</f>
        <v>Escalate to client management; book an alternate window</v>
      </c>
      <c r="I65" s="30"/>
      <c r="J65" s="30"/>
      <c r="K65" s="31" t="n">
        <f aca="false">IF(LARGE(Risks!$P$6:$P$35,1)=0,"",INDEX(Risks!$K$6:$K$35,MATCH(LARGE(Risks!$P$6:$P$35,1),Risks!$P$6:$P$35,0)))</f>
        <v>16</v>
      </c>
      <c r="L65" s="29" t="str">
        <f aca="false">IF(LARGE(Risks!$P$6:$P$35,1)=0,"",INDEX(Risks!$L$6:$L$35,MATCH(LARGE(Risks!$P$6:$P$35,1),Risks!$P$6:$P$35,0))&amp;"")</f>
        <v>Critical</v>
      </c>
      <c r="M65" s="32" t="str">
        <f aca="false">IF(LARGE(Risks!$P$6:$P$35,1)=0,"",INDEX(Risks!$N$6:$N$35,MATCH(LARGE(Risks!$P$6:$P$35,1),Risks!$P$6:$P$35,0))&amp;"")</f>
        <v>Yes</v>
      </c>
    </row>
    <row r="66" customFormat="false" ht="27.75" hidden="false" customHeight="true" outlineLevel="0" collapsed="false">
      <c r="B66" s="29" t="str">
        <f aca="false">IF(LARGE(Risks!$P$6:$P$35,2)=0,"",INDEX(Risks!$B$6:$B$35,MATCH(LARGE(Risks!$P$6:$P$35,2),Risks!$P$6:$P$35,0))&amp;"")</f>
        <v>P-01</v>
      </c>
      <c r="C66" s="30" t="str">
        <f aca="false">IF(LARGE(Risks!$P$6:$P$35,2)=0,"",INDEX(Risks!$D$6:$D$35,MATCH(LARGE(Risks!$P$6:$P$35,2),Risks!$P$6:$P$35,0))&amp;"")</f>
        <v>Key user unavailable for testing</v>
      </c>
      <c r="D66" s="30"/>
      <c r="E66" s="30"/>
      <c r="F66" s="30" t="str">
        <f aca="false">IF(LARGE(Risks!$P$6:$P$35,2)=0,"",INDEX(Risks!$E$6:$E$35,MATCH(LARGE(Risks!$P$6:$P$35,2),Risks!$P$6:$P$35,0))&amp;"")</f>
        <v>PM</v>
      </c>
      <c r="G66" s="30"/>
      <c r="H66" s="30" t="str">
        <f aca="false">IF(LARGE(Risks!$P$6:$P$35,2)=0,"",INDEX(Risks!$H$6:$H$35,MATCH(LARGE(Risks!$P$6:$P$35,2),Risks!$P$6:$P$35,0))&amp;"")</f>
        <v>Agree on a substitute with the sponsor</v>
      </c>
      <c r="I66" s="30"/>
      <c r="J66" s="30"/>
      <c r="K66" s="31" t="n">
        <f aca="false">IF(LARGE(Risks!$P$6:$P$35,2)=0,"",INDEX(Risks!$K$6:$K$35,MATCH(LARGE(Risks!$P$6:$P$35,2),Risks!$P$6:$P$35,0)))</f>
        <v>15</v>
      </c>
      <c r="L66" s="29" t="str">
        <f aca="false">IF(LARGE(Risks!$P$6:$P$35,2)=0,"",INDEX(Risks!$L$6:$L$35,MATCH(LARGE(Risks!$P$6:$P$35,2),Risks!$P$6:$P$35,0))&amp;"")</f>
        <v>Critical</v>
      </c>
      <c r="M66" s="32" t="str">
        <f aca="false">IF(LARGE(Risks!$P$6:$P$35,2)=0,"",INDEX(Risks!$N$6:$N$35,MATCH(LARGE(Risks!$P$6:$P$35,2),Risks!$P$6:$P$35,0))&amp;"")</f>
        <v>Yes</v>
      </c>
    </row>
    <row r="67" customFormat="false" ht="27.75" hidden="false" customHeight="true" outlineLevel="0" collapsed="false">
      <c r="B67" s="29" t="str">
        <f aca="false">IF(LARGE(Risks!$P$6:$P$35,3)=0,"",INDEX(Risks!$B$6:$B$35,MATCH(LARGE(Risks!$P$6:$P$35,3),Risks!$P$6:$P$35,0))&amp;"")</f>
        <v>R-02</v>
      </c>
      <c r="C67" s="30" t="str">
        <f aca="false">IF(LARGE(Risks!$P$6:$P$35,3)=0,"",INDEX(Risks!$D$6:$D$35,MATCH(LARGE(Risks!$P$6:$P$35,3),Risks!$P$6:$P$35,0))&amp;"")</f>
        <v>Vendor licenses not delivered</v>
      </c>
      <c r="D67" s="30"/>
      <c r="E67" s="30"/>
      <c r="F67" s="30" t="str">
        <f aca="false">IF(LARGE(Risks!$P$6:$P$35,3)=0,"",INDEX(Risks!$E$6:$E$35,MATCH(LARGE(Risks!$P$6:$P$35,3),Risks!$P$6:$P$35,0))&amp;"")</f>
        <v/>
      </c>
      <c r="G67" s="30"/>
      <c r="H67" s="30" t="str">
        <f aca="false">IF(LARGE(Risks!$P$6:$P$35,3)=0,"",INDEX(Risks!$H$6:$H$35,MATCH(LARGE(Risks!$P$6:$P$35,3),Risks!$P$6:$P$35,0))&amp;"")</f>
        <v>Request temporary licenses</v>
      </c>
      <c r="I67" s="30"/>
      <c r="J67" s="30"/>
      <c r="K67" s="31" t="n">
        <f aca="false">IF(LARGE(Risks!$P$6:$P$35,3)=0,"",INDEX(Risks!$K$6:$K$35,MATCH(LARGE(Risks!$P$6:$P$35,3),Risks!$P$6:$P$35,0)))</f>
        <v>9</v>
      </c>
      <c r="L67" s="29" t="str">
        <f aca="false">IF(LARGE(Risks!$P$6:$P$35,3)=0,"",INDEX(Risks!$L$6:$L$35,MATCH(LARGE(Risks!$P$6:$P$35,3),Risks!$P$6:$P$35,0))&amp;"")</f>
        <v>High</v>
      </c>
      <c r="M67" s="32" t="str">
        <f aca="false">IF(LARGE(Risks!$P$6:$P$35,3)=0,"",INDEX(Risks!$N$6:$N$35,MATCH(LARGE(Risks!$P$6:$P$35,3),Risks!$P$6:$P$35,0))&amp;"")</f>
        <v>No</v>
      </c>
    </row>
    <row r="68" customFormat="false" ht="27.75" hidden="false" customHeight="true" outlineLevel="0" collapsed="false">
      <c r="B68" s="29" t="str">
        <f aca="false">IF(LARGE(Risks!$P$6:$P$35,4)=0,"",INDEX(Risks!$B$6:$B$35,MATCH(LARGE(Risks!$P$6:$P$35,4),Risks!$P$6:$P$35,0))&amp;"")</f>
        <v>R-04</v>
      </c>
      <c r="C68" s="30" t="str">
        <f aca="false">IF(LARGE(Risks!$P$6:$P$35,4)=0,"",INDEX(Risks!$D$6:$D$35,MATCH(LARGE(Risks!$P$6:$P$35,4),Risks!$P$6:$P$35,0))&amp;"")</f>
        <v>Delay in purchasing additional storage</v>
      </c>
      <c r="D68" s="30"/>
      <c r="E68" s="30"/>
      <c r="F68" s="30" t="str">
        <f aca="false">IF(LARGE(Risks!$P$6:$P$35,4)=0,"",INDEX(Risks!$E$6:$E$35,MATCH(LARGE(Risks!$P$6:$P$35,4),Risks!$P$6:$P$35,0))&amp;"")</f>
        <v>Procurement</v>
      </c>
      <c r="G68" s="30"/>
      <c r="H68" s="30" t="str">
        <f aca="false">IF(LARGE(Risks!$P$6:$P$35,4)=0,"",INDEX(Risks!$H$6:$H$35,MATCH(LARGE(Risks!$P$6:$P$35,4),Risks!$P$6:$P$35,0))&amp;"")</f>
        <v>Escalate to procurement leadership</v>
      </c>
      <c r="I68" s="30"/>
      <c r="J68" s="30"/>
      <c r="K68" s="31" t="n">
        <f aca="false">IF(LARGE(Risks!$P$6:$P$35,4)=0,"",INDEX(Risks!$K$6:$K$35,MATCH(LARGE(Risks!$P$6:$P$35,4),Risks!$P$6:$P$35,0)))</f>
        <v>8</v>
      </c>
      <c r="L68" s="29" t="str">
        <f aca="false">IF(LARGE(Risks!$P$6:$P$35,4)=0,"",INDEX(Risks!$L$6:$L$35,MATCH(LARGE(Risks!$P$6:$P$35,4),Risks!$P$6:$P$35,0))&amp;"")</f>
        <v>High</v>
      </c>
      <c r="M68" s="32" t="str">
        <f aca="false">IF(LARGE(Risks!$P$6:$P$35,4)=0,"",INDEX(Risks!$N$6:$N$35,MATCH(LARGE(Risks!$P$6:$P$35,4),Risks!$P$6:$P$35,0))&amp;"")</f>
        <v>Yes</v>
      </c>
    </row>
    <row r="69" customFormat="false" ht="27.75" hidden="false" customHeight="true" outlineLevel="0" collapsed="false">
      <c r="B69" s="29" t="str">
        <f aca="false">IF(LARGE(Risks!$P$6:$P$35,5)=0,"",INDEX(Risks!$B$6:$B$35,MATCH(LARGE(Risks!$P$6:$P$35,5),Risks!$P$6:$P$35,0))&amp;"")</f>
        <v>R-03</v>
      </c>
      <c r="C69" s="30" t="str">
        <f aca="false">IF(LARGE(Risks!$P$6:$P$35,5)=0,"",INDEX(Risks!$D$6:$D$35,MATCH(LARGE(Risks!$P$6:$P$35,5),Risks!$P$6:$P$35,0))&amp;"")</f>
        <v>Turnover in the infrastructure team</v>
      </c>
      <c r="D69" s="30"/>
      <c r="E69" s="30"/>
      <c r="F69" s="30" t="str">
        <f aca="false">IF(LARGE(Risks!$P$6:$P$35,5)=0,"",INDEX(Risks!$E$6:$E$35,MATCH(LARGE(Risks!$P$6:$P$35,5),Risks!$P$6:$P$35,0))&amp;"")</f>
        <v>PM</v>
      </c>
      <c r="G69" s="30"/>
      <c r="H69" s="30" t="str">
        <f aca="false">IF(LARGE(Risks!$P$6:$P$35,5)=0,"",INDEX(Risks!$H$6:$H$35,MATCH(LARGE(Risks!$P$6:$P$35,5),Risks!$P$6:$P$35,0))&amp;"")</f>
        <v>Document and assign a backup per role</v>
      </c>
      <c r="I69" s="30"/>
      <c r="J69" s="30"/>
      <c r="K69" s="31" t="n">
        <f aca="false">IF(LARGE(Risks!$P$6:$P$35,5)=0,"",INDEX(Risks!$K$6:$K$35,MATCH(LARGE(Risks!$P$6:$P$35,5),Risks!$P$6:$P$35,0)))</f>
        <v>6</v>
      </c>
      <c r="L69" s="29" t="str">
        <f aca="false">IF(LARGE(Risks!$P$6:$P$35,5)=0,"",INDEX(Risks!$L$6:$L$35,MATCH(LARGE(Risks!$P$6:$P$35,5),Risks!$P$6:$P$35,0))&amp;"")</f>
        <v>Medium</v>
      </c>
      <c r="M69" s="32" t="str">
        <f aca="false">IF(LARGE(Risks!$P$6:$P$35,5)=0,"",INDEX(Risks!$N$6:$N$35,MATCH(LARGE(Risks!$P$6:$P$35,5),Risks!$P$6:$P$35,0))&amp;"")</f>
        <v>Yes</v>
      </c>
    </row>
    <row r="71" customFormat="false" ht="15" hidden="false" customHeight="false" outlineLevel="0" collapsed="false">
      <c r="B71" s="15" t="s">
        <v>38</v>
      </c>
    </row>
    <row r="72" customFormat="false" ht="15" hidden="false" customHeight="false" outlineLevel="0" collapsed="false">
      <c r="B72" s="16" t="s">
        <v>39</v>
      </c>
    </row>
    <row r="73" customFormat="false" ht="15" hidden="false" customHeight="false" outlineLevel="0" collapsed="false">
      <c r="B73" s="7" t="s">
        <v>40</v>
      </c>
      <c r="C73" s="7"/>
      <c r="D73" s="7"/>
      <c r="E73" s="7"/>
      <c r="F73" s="7" t="s">
        <v>33</v>
      </c>
      <c r="G73" s="7"/>
      <c r="H73" s="28" t="s">
        <v>41</v>
      </c>
      <c r="I73" s="7" t="s">
        <v>42</v>
      </c>
      <c r="J73" s="7"/>
      <c r="K73" s="7"/>
      <c r="L73" s="7"/>
      <c r="M73" s="7"/>
    </row>
    <row r="74" customFormat="false" ht="21.75" hidden="false" customHeight="true" outlineLevel="0" collapsed="false">
      <c r="B74" s="33" t="s">
        <v>43</v>
      </c>
      <c r="C74" s="33"/>
      <c r="D74" s="33"/>
      <c r="E74" s="33"/>
      <c r="F74" s="33" t="s">
        <v>44</v>
      </c>
      <c r="G74" s="33"/>
      <c r="H74" s="34" t="n">
        <v>46304</v>
      </c>
      <c r="I74" s="33" t="s">
        <v>45</v>
      </c>
      <c r="J74" s="33"/>
      <c r="K74" s="33"/>
      <c r="L74" s="33"/>
      <c r="M74" s="33"/>
    </row>
    <row r="75" customFormat="false" ht="21.75" hidden="false" customHeight="true" outlineLevel="0" collapsed="false">
      <c r="B75" s="33"/>
      <c r="C75" s="33"/>
      <c r="D75" s="33"/>
      <c r="E75" s="33"/>
      <c r="F75" s="33"/>
      <c r="G75" s="33"/>
      <c r="H75" s="34"/>
      <c r="I75" s="33"/>
      <c r="J75" s="33"/>
      <c r="K75" s="33"/>
      <c r="L75" s="33"/>
      <c r="M75" s="33"/>
    </row>
    <row r="76" customFormat="false" ht="21.75" hidden="false" customHeight="true" outlineLevel="0" collapsed="false"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3"/>
    </row>
    <row r="78" customFormat="false" ht="15" hidden="false" customHeight="false" outlineLevel="0" collapsed="false">
      <c r="B78" s="35" t="s">
        <v>46</v>
      </c>
    </row>
  </sheetData>
  <mergeCells count="72">
    <mergeCell ref="K1:M1"/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8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L9:M9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C64:E64"/>
    <mergeCell ref="F64:G64"/>
    <mergeCell ref="H64:J64"/>
    <mergeCell ref="C65:E65"/>
    <mergeCell ref="F65:G65"/>
    <mergeCell ref="H65:J65"/>
    <mergeCell ref="C66:E66"/>
    <mergeCell ref="F66:G66"/>
    <mergeCell ref="H66:J66"/>
    <mergeCell ref="C67:E67"/>
    <mergeCell ref="F67:G67"/>
    <mergeCell ref="H67:J67"/>
    <mergeCell ref="C68:E68"/>
    <mergeCell ref="F68:G68"/>
    <mergeCell ref="H68:J68"/>
    <mergeCell ref="C69:E69"/>
    <mergeCell ref="F69:G69"/>
    <mergeCell ref="H69:J69"/>
    <mergeCell ref="B73:E73"/>
    <mergeCell ref="F73:G73"/>
    <mergeCell ref="I73:M73"/>
    <mergeCell ref="B74:E74"/>
    <mergeCell ref="F74:G74"/>
    <mergeCell ref="I74:M74"/>
    <mergeCell ref="B75:E75"/>
    <mergeCell ref="F75:G75"/>
    <mergeCell ref="I75:M75"/>
    <mergeCell ref="B76:E76"/>
    <mergeCell ref="F76:G76"/>
    <mergeCell ref="I76:M76"/>
  </mergeCells>
  <conditionalFormatting sqref="B9:C9">
    <cfRule type="expression" priority="2" aboveAverage="0" equalAverage="0" bottom="0" percent="0" rank="0" text="" dxfId="0">
      <formula>ISNUMBER(SEARCH(Settings!$C$31,B9))</formula>
    </cfRule>
    <cfRule type="expression" priority="3" aboveAverage="0" equalAverage="0" bottom="0" percent="0" rank="0" text="" dxfId="1">
      <formula>ISNUMBER(SEARCH(Settings!$C$32,B9))</formula>
    </cfRule>
    <cfRule type="expression" priority="4" aboveAverage="0" equalAverage="0" bottom="0" percent="0" rank="0" text="" dxfId="2">
      <formula>ISNUMBER(SEARCH(Settings!$C$33,B9))</formula>
    </cfRule>
  </conditionalFormatting>
  <conditionalFormatting sqref="D9:E9">
    <cfRule type="expression" priority="5" aboveAverage="0" equalAverage="0" bottom="0" percent="0" rank="0" text="" dxfId="0">
      <formula>ISNUMBER(SEARCH(Settings!$C$31,D9))</formula>
    </cfRule>
    <cfRule type="expression" priority="6" aboveAverage="0" equalAverage="0" bottom="0" percent="0" rank="0" text="" dxfId="1">
      <formula>ISNUMBER(SEARCH(Settings!$C$32,D9))</formula>
    </cfRule>
    <cfRule type="expression" priority="7" aboveAverage="0" equalAverage="0" bottom="0" percent="0" rank="0" text="" dxfId="2">
      <formula>ISNUMBER(SEARCH(Settings!$C$33,D9))</formula>
    </cfRule>
  </conditionalFormatting>
  <conditionalFormatting sqref="F9:G9">
    <cfRule type="expression" priority="8" aboveAverage="0" equalAverage="0" bottom="0" percent="0" rank="0" text="" dxfId="0">
      <formula>ISNUMBER(SEARCH(Settings!$C$31,F9))</formula>
    </cfRule>
    <cfRule type="expression" priority="9" aboveAverage="0" equalAverage="0" bottom="0" percent="0" rank="0" text="" dxfId="1">
      <formula>ISNUMBER(SEARCH(Settings!$C$32,F9))</formula>
    </cfRule>
    <cfRule type="expression" priority="10" aboveAverage="0" equalAverage="0" bottom="0" percent="0" rank="0" text="" dxfId="2">
      <formula>ISNUMBER(SEARCH(Settings!$C$33,F9))</formula>
    </cfRule>
  </conditionalFormatting>
  <conditionalFormatting sqref="H9:I9">
    <cfRule type="expression" priority="11" aboveAverage="0" equalAverage="0" bottom="0" percent="0" rank="0" text="" dxfId="0">
      <formula>ISNUMBER(SEARCH(Settings!$C$31,H9))</formula>
    </cfRule>
    <cfRule type="expression" priority="12" aboveAverage="0" equalAverage="0" bottom="0" percent="0" rank="0" text="" dxfId="1">
      <formula>ISNUMBER(SEARCH(Settings!$C$32,H9))</formula>
    </cfRule>
    <cfRule type="expression" priority="13" aboveAverage="0" equalAverage="0" bottom="0" percent="0" rank="0" text="" dxfId="2">
      <formula>ISNUMBER(SEARCH(Settings!$C$33,H9))</formula>
    </cfRule>
  </conditionalFormatting>
  <conditionalFormatting sqref="J9:K9">
    <cfRule type="expression" priority="14" aboveAverage="0" equalAverage="0" bottom="0" percent="0" rank="0" text="" dxfId="0">
      <formula>ISNUMBER(SEARCH(Settings!$C$31,J9))</formula>
    </cfRule>
    <cfRule type="expression" priority="15" aboveAverage="0" equalAverage="0" bottom="0" percent="0" rank="0" text="" dxfId="1">
      <formula>ISNUMBER(SEARCH(Settings!$C$32,J9))</formula>
    </cfRule>
    <cfRule type="expression" priority="16" aboveAverage="0" equalAverage="0" bottom="0" percent="0" rank="0" text="" dxfId="2">
      <formula>ISNUMBER(SEARCH(Settings!$C$33,J9))</formula>
    </cfRule>
  </conditionalFormatting>
  <conditionalFormatting sqref="L5:M9">
    <cfRule type="expression" priority="17" aboveAverage="0" equalAverage="0" bottom="0" percent="0" rank="0" text="" dxfId="3">
      <formula>$L$6=Settings!$C$31</formula>
    </cfRule>
    <cfRule type="expression" priority="18" aboveAverage="0" equalAverage="0" bottom="0" percent="0" rank="0" text="" dxfId="4">
      <formula>$L$6=Settings!$C$32</formula>
    </cfRule>
    <cfRule type="expression" priority="19" aboveAverage="0" equalAverage="0" bottom="0" percent="0" rank="0" text="" dxfId="5">
      <formula>$L$6=Settings!$C$33</formula>
    </cfRule>
  </conditionalFormatting>
  <conditionalFormatting sqref="H14">
    <cfRule type="cellIs" priority="20" operator="lessThan" aboveAverage="0" equalAverage="0" bottom="0" percent="0" rank="0" text="" dxfId="6">
      <formula>Settings!$C$24</formula>
    </cfRule>
    <cfRule type="cellIs" priority="21" operator="between" aboveAverage="0" equalAverage="0" bottom="0" percent="0" rank="0" text="" dxfId="7">
      <formula>Settings!$C$24</formula>
      <formula>Settings!$C$23</formula>
    </cfRule>
  </conditionalFormatting>
  <conditionalFormatting sqref="J14">
    <cfRule type="cellIs" priority="22" operator="lessThanOrEqual" aboveAverage="0" equalAverage="0" bottom="0" percent="0" rank="0" text="" dxfId="6">
      <formula>-1</formula>
    </cfRule>
  </conditionalFormatting>
  <conditionalFormatting sqref="L14">
    <cfRule type="expression" priority="23" aboveAverage="0" equalAverage="0" bottom="0" percent="0" rank="0" text="" dxfId="6">
      <formula>SUM(Deliverables!$N$6:$N$35)*Settings!$C$15/INDEX('Weekly Tracking'!$F$6:$F$29,COUNT('Weekly Tracking'!$E$6:$E$29))&lt;Settings!$C$24</formula>
    </cfRule>
  </conditionalFormatting>
  <conditionalFormatting sqref="I38:M42">
    <cfRule type="expression" priority="24" aboveAverage="0" equalAverage="0" bottom="0" percent="0" rank="0" text="" dxfId="8">
      <formula>$H38*I$43&gt;=Settings!$C$26</formula>
    </cfRule>
    <cfRule type="expression" priority="25" aboveAverage="0" equalAverage="0" bottom="0" percent="0" rank="0" text="" dxfId="9">
      <formula>$H38*I$43&gt;=Settings!$C$27</formula>
    </cfRule>
    <cfRule type="expression" priority="26" aboveAverage="0" equalAverage="0" bottom="0" percent="0" rank="0" text="" dxfId="10">
      <formula>$H38*I$43&gt;=Settings!$C$28</formula>
    </cfRule>
    <cfRule type="expression" priority="27" aboveAverage="0" equalAverage="0" bottom="0" percent="0" rank="0" text="" dxfId="11">
      <formula>$H38*I$43&lt;Settings!$C$28</formula>
    </cfRule>
  </conditionalFormatting>
  <conditionalFormatting sqref="L65:L69">
    <cfRule type="cellIs" priority="28" operator="equal" aboveAverage="0" equalAverage="0" bottom="0" percent="0" rank="0" text="" dxfId="2">
      <formula>Settings!$C$46</formula>
    </cfRule>
    <cfRule type="cellIs" priority="29" operator="equal" aboveAverage="0" equalAverage="0" bottom="0" percent="0" rank="0" text="" dxfId="12">
      <formula>Settings!$C$47</formula>
    </cfRule>
    <cfRule type="cellIs" priority="30" operator="equal" aboveAverage="0" equalAverage="0" bottom="0" percent="0" rank="0" text="" dxfId="1">
      <formula>Settings!$C$48</formula>
    </cfRule>
    <cfRule type="cellIs" priority="31" operator="equal" aboveAverage="0" equalAverage="0" bottom="0" percent="0" rank="0" text="" dxfId="0">
      <formula>Settings!$C$49</formula>
    </cfRule>
  </conditionalFormatting>
  <conditionalFormatting sqref="M65:M69">
    <cfRule type="cellIs" priority="32" operator="equal" aboveAverage="0" equalAverage="0" bottom="0" percent="0" rank="0" text="" dxfId="2">
      <formula>"No"</formula>
    </cfRule>
  </conditionalFormatting>
  <conditionalFormatting sqref="K65:K69">
    <cfRule type="dataBar" priority="33">
      <dataBar showValue="1" minLength="10" maxLength="90">
        <cfvo type="num" val="0"/>
        <cfvo type="num" val="25"/>
        <color rgb="FFE8746B"/>
      </dataBar>
      <extLst>
        <ext xmlns:x14="http://schemas.microsoft.com/office/spreadsheetml/2009/9/main" uri="{B025F937-C7B1-47D3-B67F-A62EFF666E3E}">
          <x14:id>{D6DAE043-AA20-4F4D-BC3F-7A3DE946C0A2}</x14:id>
        </ext>
      </extLst>
    </cfRule>
  </conditionalFormatting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&amp;C&amp;"Arial,Italic"&amp;8© Carlos Alberto Ruiz Brito · 14/10/2026 · Delivery con Charly Brito · carlosruizbrito.com · CC BY 4.0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DAE043-AA20-4F4D-BC3F-7A3DE946C0A2}">
            <x14:dataBar minLength="10" maxLength="90" axisPosition="none" gradient="true">
              <x14:cfvo type="num">
                <xm:f>0</xm:f>
              </x14:cfvo>
              <x14:cfvo type="num">
                <xm:f>25</xm:f>
              </x14:cfvo>
              <x14:negativeFillColor rgb="FFE8746B"/>
              <x14:axisColor rgb="FF000000"/>
            </x14:dataBar>
          </x14:cfRule>
          <xm:sqref>K65:K69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88"/>
  </cols>
  <sheetData>
    <row r="1" customFormat="false" ht="30" hidden="false" customHeight="true" outlineLevel="0" collapsed="false">
      <c r="A1" s="2"/>
      <c r="B1" s="36" t="s">
        <v>47</v>
      </c>
      <c r="C1" s="2"/>
      <c r="D1" s="2"/>
    </row>
    <row r="2" customFormat="false" ht="18" hidden="false" customHeight="true" outlineLevel="0" collapsed="false">
      <c r="A2" s="2"/>
      <c r="B2" s="37" t="s">
        <v>48</v>
      </c>
      <c r="C2" s="2"/>
      <c r="D2" s="2"/>
    </row>
    <row r="3" customFormat="false" ht="9.75" hidden="false" customHeight="true" outlineLevel="0" collapsed="false">
      <c r="A3" s="2"/>
      <c r="B3" s="2"/>
      <c r="C3" s="2"/>
      <c r="D3" s="2"/>
    </row>
    <row r="5" customFormat="false" ht="43.5" hidden="false" customHeight="true" outlineLevel="0" collapsed="false">
      <c r="B5" s="38" t="s">
        <v>49</v>
      </c>
      <c r="C5" s="39" t="s">
        <v>50</v>
      </c>
    </row>
    <row r="6" customFormat="false" ht="43.5" hidden="false" customHeight="true" outlineLevel="0" collapsed="false">
      <c r="B6" s="38" t="s">
        <v>51</v>
      </c>
      <c r="C6" s="39" t="s">
        <v>52</v>
      </c>
    </row>
    <row r="7" customFormat="false" ht="43.5" hidden="false" customHeight="true" outlineLevel="0" collapsed="false">
      <c r="B7" s="38" t="s">
        <v>53</v>
      </c>
      <c r="C7" s="39" t="s">
        <v>54</v>
      </c>
    </row>
    <row r="8" customFormat="false" ht="43.5" hidden="false" customHeight="true" outlineLevel="0" collapsed="false">
      <c r="B8" s="38" t="s">
        <v>55</v>
      </c>
      <c r="C8" s="39" t="s">
        <v>56</v>
      </c>
    </row>
    <row r="9" customFormat="false" ht="43.5" hidden="false" customHeight="true" outlineLevel="0" collapsed="false">
      <c r="B9" s="38" t="s">
        <v>57</v>
      </c>
      <c r="C9" s="39" t="s">
        <v>58</v>
      </c>
    </row>
    <row r="10" customFormat="false" ht="43.5" hidden="false" customHeight="true" outlineLevel="0" collapsed="false">
      <c r="B10" s="38" t="s">
        <v>59</v>
      </c>
      <c r="C10" s="39" t="s">
        <v>60</v>
      </c>
    </row>
    <row r="11" customFormat="false" ht="24" hidden="false" customHeight="true" outlineLevel="0" collapsed="false">
      <c r="B11" s="38" t="s">
        <v>61</v>
      </c>
      <c r="C11" s="39" t="s">
        <v>62</v>
      </c>
    </row>
    <row r="12" customFormat="false" ht="43.5" hidden="false" customHeight="true" outlineLevel="0" collapsed="false">
      <c r="B12" s="38" t="s">
        <v>63</v>
      </c>
      <c r="C12" s="39" t="s">
        <v>64</v>
      </c>
    </row>
    <row r="13" customFormat="false" ht="43.5" hidden="false" customHeight="true" outlineLevel="0" collapsed="false">
      <c r="B13" s="38" t="s">
        <v>65</v>
      </c>
      <c r="C13" s="39" t="s">
        <v>66</v>
      </c>
    </row>
    <row r="14" customFormat="false" ht="43.5" hidden="false" customHeight="true" outlineLevel="0" collapsed="false">
      <c r="B14" s="38" t="s">
        <v>67</v>
      </c>
      <c r="C14" s="39" t="s">
        <v>68</v>
      </c>
    </row>
    <row r="15" customFormat="false" ht="43.5" hidden="false" customHeight="true" outlineLevel="0" collapsed="false">
      <c r="B15" s="38" t="s">
        <v>69</v>
      </c>
      <c r="C15" s="39" t="s">
        <v>70</v>
      </c>
    </row>
    <row r="16" customFormat="false" ht="43.5" hidden="false" customHeight="true" outlineLevel="0" collapsed="false">
      <c r="B16" s="38" t="s">
        <v>71</v>
      </c>
      <c r="C16" s="39" t="s">
        <v>72</v>
      </c>
    </row>
    <row r="17" customFormat="false" ht="43.5" hidden="false" customHeight="true" outlineLevel="0" collapsed="false">
      <c r="B17" s="38" t="s">
        <v>73</v>
      </c>
      <c r="C17" s="39" t="s">
        <v>74</v>
      </c>
    </row>
    <row r="20" customFormat="false" ht="15" hidden="false" customHeight="false" outlineLevel="0" collapsed="false">
      <c r="B20" s="35" t="s">
        <v>46</v>
      </c>
    </row>
  </sheetData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&amp;C&amp;"Arial,Italic"&amp;8© Carlos Alberto Ruiz Brito · 14/10/2026 · Delivery con Charly Brito · carlosruizbrito.com · CC BY 4.0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40"/>
    <col collapsed="false" customWidth="true" hidden="false" outlineLevel="0" max="4" min="4" style="1" width="52"/>
    <col collapsed="false" customWidth="true" hidden="false" outlineLevel="0" max="5" min="5" style="1" width="3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2"/>
  </cols>
  <sheetData>
    <row r="1" customFormat="false" ht="30" hidden="false" customHeight="true" outlineLevel="0" collapsed="false">
      <c r="A1" s="2"/>
      <c r="B1" s="36" t="s">
        <v>75</v>
      </c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2"/>
      <c r="B2" s="37" t="s">
        <v>76</v>
      </c>
      <c r="C2" s="2"/>
      <c r="D2" s="2"/>
      <c r="E2" s="2"/>
      <c r="F2" s="2"/>
      <c r="G2" s="2"/>
      <c r="H2" s="2"/>
      <c r="I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5" customFormat="false" ht="21.75" hidden="false" customHeight="true" outlineLevel="0" collapsed="false">
      <c r="B5" s="40" t="s">
        <v>77</v>
      </c>
      <c r="C5" s="40" t="s">
        <v>78</v>
      </c>
      <c r="D5" s="40" t="s">
        <v>79</v>
      </c>
    </row>
    <row r="6" customFormat="false" ht="24" hidden="false" customHeight="true" outlineLevel="0" collapsed="false">
      <c r="B6" s="41" t="s">
        <v>80</v>
      </c>
      <c r="F6" s="42" t="s">
        <v>81</v>
      </c>
      <c r="G6" s="42" t="s">
        <v>82</v>
      </c>
    </row>
    <row r="7" customFormat="false" ht="18.75" hidden="false" customHeight="true" outlineLevel="0" collapsed="false">
      <c r="B7" s="43" t="s">
        <v>83</v>
      </c>
      <c r="C7" s="44" t="s">
        <v>84</v>
      </c>
      <c r="D7" s="45" t="s">
        <v>85</v>
      </c>
      <c r="F7" s="46" t="s">
        <v>86</v>
      </c>
      <c r="G7" s="46" t="s">
        <v>87</v>
      </c>
    </row>
    <row r="8" customFormat="false" ht="18.75" hidden="false" customHeight="true" outlineLevel="0" collapsed="false">
      <c r="B8" s="43" t="s">
        <v>88</v>
      </c>
      <c r="C8" s="44" t="s">
        <v>89</v>
      </c>
      <c r="D8" s="45" t="s">
        <v>90</v>
      </c>
      <c r="F8" s="46" t="s">
        <v>91</v>
      </c>
      <c r="G8" s="46" t="s">
        <v>92</v>
      </c>
    </row>
    <row r="9" customFormat="false" ht="18.75" hidden="false" customHeight="true" outlineLevel="0" collapsed="false">
      <c r="B9" s="43" t="s">
        <v>93</v>
      </c>
      <c r="C9" s="44" t="s">
        <v>94</v>
      </c>
      <c r="D9" s="45" t="s">
        <v>95</v>
      </c>
      <c r="F9" s="46" t="s">
        <v>96</v>
      </c>
      <c r="G9" s="46" t="s">
        <v>97</v>
      </c>
    </row>
    <row r="10" customFormat="false" ht="18.75" hidden="false" customHeight="true" outlineLevel="0" collapsed="false">
      <c r="B10" s="43" t="s">
        <v>98</v>
      </c>
      <c r="C10" s="44" t="s">
        <v>99</v>
      </c>
      <c r="D10" s="45" t="s">
        <v>100</v>
      </c>
      <c r="F10" s="46" t="s">
        <v>101</v>
      </c>
      <c r="G10" s="46" t="s">
        <v>102</v>
      </c>
    </row>
    <row r="11" customFormat="false" ht="15" hidden="false" customHeight="false" outlineLevel="0" collapsed="false">
      <c r="F11" s="46" t="s">
        <v>103</v>
      </c>
      <c r="G11" s="46" t="s">
        <v>104</v>
      </c>
    </row>
    <row r="12" customFormat="false" ht="24" hidden="false" customHeight="true" outlineLevel="0" collapsed="false">
      <c r="B12" s="41" t="s">
        <v>105</v>
      </c>
      <c r="F12" s="46" t="s">
        <v>106</v>
      </c>
      <c r="G12" s="46" t="s">
        <v>107</v>
      </c>
    </row>
    <row r="13" customFormat="false" ht="18.75" hidden="false" customHeight="true" outlineLevel="0" collapsed="false">
      <c r="B13" s="43" t="s">
        <v>81</v>
      </c>
      <c r="C13" s="44" t="s">
        <v>91</v>
      </c>
      <c r="D13" s="45" t="s">
        <v>108</v>
      </c>
      <c r="F13" s="46" t="s">
        <v>109</v>
      </c>
      <c r="G13" s="46" t="s">
        <v>110</v>
      </c>
    </row>
    <row r="14" customFormat="false" ht="18.75" hidden="false" customHeight="true" outlineLevel="0" collapsed="false">
      <c r="B14" s="43" t="s">
        <v>111</v>
      </c>
      <c r="C14" s="47" t="str">
        <f aca="false">IFERROR(VLOOKUP(C13,$F$7:$G$16,2,0),"$")</f>
        <v>US$</v>
      </c>
      <c r="D14" s="45" t="s">
        <v>112</v>
      </c>
      <c r="F14" s="46" t="s">
        <v>113</v>
      </c>
      <c r="G14" s="46" t="s">
        <v>114</v>
      </c>
    </row>
    <row r="15" customFormat="false" ht="18.75" hidden="false" customHeight="true" outlineLevel="0" collapsed="false">
      <c r="B15" s="43" t="s">
        <v>115</v>
      </c>
      <c r="C15" s="48" t="n">
        <v>2400000</v>
      </c>
      <c r="D15" s="45" t="s">
        <v>116</v>
      </c>
      <c r="F15" s="46" t="s">
        <v>117</v>
      </c>
      <c r="G15" s="46" t="s">
        <v>118</v>
      </c>
    </row>
    <row r="16" customFormat="false" ht="18.75" hidden="false" customHeight="true" outlineLevel="0" collapsed="false">
      <c r="B16" s="43" t="s">
        <v>119</v>
      </c>
      <c r="C16" s="44" t="s">
        <v>120</v>
      </c>
      <c r="D16" s="45" t="s">
        <v>121</v>
      </c>
      <c r="F16" s="46" t="s">
        <v>122</v>
      </c>
      <c r="G16" s="46" t="s">
        <v>123</v>
      </c>
    </row>
    <row r="17" customFormat="false" ht="18.75" hidden="false" customHeight="true" outlineLevel="0" collapsed="false">
      <c r="B17" s="43" t="s">
        <v>124</v>
      </c>
      <c r="C17" s="49" t="n">
        <f aca="false">IFERROR(VLOOKUP(C16,$F$19:$H$21,2,0),1)</f>
        <v>1000</v>
      </c>
      <c r="D17" s="45"/>
    </row>
    <row r="18" customFormat="false" ht="18.75" hidden="false" customHeight="true" outlineLevel="0" collapsed="false">
      <c r="B18" s="43" t="s">
        <v>125</v>
      </c>
      <c r="C18" s="47" t="str">
        <f aca="false">IFERROR(VLOOKUP(C16,$F$19:$H$21,3,0),"")</f>
        <v>k</v>
      </c>
      <c r="D18" s="45"/>
      <c r="F18" s="42" t="s">
        <v>126</v>
      </c>
      <c r="G18" s="42" t="s">
        <v>127</v>
      </c>
      <c r="H18" s="42" t="s">
        <v>128</v>
      </c>
    </row>
    <row r="19" customFormat="false" ht="18.75" hidden="false" customHeight="true" outlineLevel="0" collapsed="false">
      <c r="B19" s="43" t="s">
        <v>67</v>
      </c>
      <c r="C19" s="44" t="s">
        <v>129</v>
      </c>
      <c r="D19" s="45" t="s">
        <v>130</v>
      </c>
      <c r="F19" s="46" t="s">
        <v>131</v>
      </c>
      <c r="G19" s="50" t="n">
        <v>1</v>
      </c>
      <c r="H19" s="46"/>
    </row>
    <row r="20" customFormat="false" ht="24" hidden="false" customHeight="true" outlineLevel="0" collapsed="false">
      <c r="B20" s="41" t="s">
        <v>132</v>
      </c>
      <c r="F20" s="46" t="s">
        <v>120</v>
      </c>
      <c r="G20" s="50" t="n">
        <v>1000</v>
      </c>
      <c r="H20" s="46" t="s">
        <v>133</v>
      </c>
    </row>
    <row r="21" customFormat="false" ht="18.75" hidden="false" customHeight="true" outlineLevel="0" collapsed="false">
      <c r="B21" s="43" t="s">
        <v>134</v>
      </c>
      <c r="C21" s="51" t="n">
        <v>0.05</v>
      </c>
      <c r="D21" s="45" t="s">
        <v>135</v>
      </c>
      <c r="F21" s="46" t="s">
        <v>136</v>
      </c>
      <c r="G21" s="50" t="n">
        <v>1000000</v>
      </c>
      <c r="H21" s="46" t="s">
        <v>137</v>
      </c>
    </row>
    <row r="22" customFormat="false" ht="18.75" hidden="false" customHeight="true" outlineLevel="0" collapsed="false">
      <c r="B22" s="43" t="s">
        <v>138</v>
      </c>
      <c r="C22" s="51" t="n">
        <v>0.1</v>
      </c>
      <c r="D22" s="45"/>
    </row>
    <row r="23" customFormat="false" ht="18.75" hidden="false" customHeight="true" outlineLevel="0" collapsed="false">
      <c r="B23" s="43" t="s">
        <v>139</v>
      </c>
      <c r="C23" s="52" t="n">
        <v>0.95</v>
      </c>
      <c r="D23" s="45" t="s">
        <v>140</v>
      </c>
    </row>
    <row r="24" customFormat="false" ht="18.75" hidden="false" customHeight="true" outlineLevel="0" collapsed="false">
      <c r="B24" s="43" t="s">
        <v>141</v>
      </c>
      <c r="C24" s="52" t="n">
        <v>0.9</v>
      </c>
      <c r="D24" s="45"/>
    </row>
    <row r="25" customFormat="false" ht="18.75" hidden="false" customHeight="true" outlineLevel="0" collapsed="false">
      <c r="B25" s="43" t="s">
        <v>142</v>
      </c>
      <c r="C25" s="53" t="n">
        <v>15</v>
      </c>
      <c r="D25" s="45" t="s">
        <v>143</v>
      </c>
    </row>
    <row r="26" customFormat="false" ht="18.75" hidden="false" customHeight="true" outlineLevel="0" collapsed="false">
      <c r="B26" s="43" t="s">
        <v>144</v>
      </c>
      <c r="C26" s="53" t="n">
        <v>15</v>
      </c>
      <c r="D26" s="45" t="s">
        <v>145</v>
      </c>
    </row>
    <row r="27" customFormat="false" ht="18.75" hidden="false" customHeight="true" outlineLevel="0" collapsed="false">
      <c r="B27" s="43" t="s">
        <v>146</v>
      </c>
      <c r="C27" s="53" t="n">
        <v>8</v>
      </c>
      <c r="D27" s="45"/>
    </row>
    <row r="28" customFormat="false" ht="18.75" hidden="false" customHeight="true" outlineLevel="0" collapsed="false">
      <c r="B28" s="43" t="s">
        <v>147</v>
      </c>
      <c r="C28" s="53" t="n">
        <v>4</v>
      </c>
      <c r="D28" s="45" t="s">
        <v>148</v>
      </c>
    </row>
    <row r="30" customFormat="false" ht="24" hidden="false" customHeight="true" outlineLevel="0" collapsed="false">
      <c r="B30" s="41" t="s">
        <v>149</v>
      </c>
    </row>
    <row r="31" customFormat="false" ht="18.75" hidden="false" customHeight="true" outlineLevel="0" collapsed="false">
      <c r="B31" s="43" t="s">
        <v>150</v>
      </c>
      <c r="C31" s="44" t="s">
        <v>151</v>
      </c>
      <c r="D31" s="45" t="s">
        <v>152</v>
      </c>
    </row>
    <row r="32" customFormat="false" ht="18.75" hidden="false" customHeight="true" outlineLevel="0" collapsed="false">
      <c r="B32" s="43" t="s">
        <v>153</v>
      </c>
      <c r="C32" s="44" t="s">
        <v>154</v>
      </c>
      <c r="D32" s="45" t="s">
        <v>155</v>
      </c>
    </row>
    <row r="33" customFormat="false" ht="18.75" hidden="false" customHeight="true" outlineLevel="0" collapsed="false">
      <c r="B33" s="43" t="s">
        <v>156</v>
      </c>
      <c r="C33" s="44" t="s">
        <v>157</v>
      </c>
      <c r="D33" s="45" t="s">
        <v>158</v>
      </c>
    </row>
    <row r="35" customFormat="false" ht="24" hidden="false" customHeight="true" outlineLevel="0" collapsed="false">
      <c r="B35" s="41" t="s">
        <v>159</v>
      </c>
    </row>
    <row r="36" customFormat="false" ht="18.75" hidden="false" customHeight="true" outlineLevel="0" collapsed="false">
      <c r="B36" s="43" t="s">
        <v>160</v>
      </c>
      <c r="C36" s="44" t="s">
        <v>161</v>
      </c>
      <c r="D36" s="45" t="s">
        <v>162</v>
      </c>
    </row>
    <row r="37" customFormat="false" ht="18.75" hidden="false" customHeight="true" outlineLevel="0" collapsed="false">
      <c r="B37" s="43" t="s">
        <v>163</v>
      </c>
      <c r="C37" s="44" t="s">
        <v>164</v>
      </c>
      <c r="D37" s="45"/>
    </row>
    <row r="38" customFormat="false" ht="18.75" hidden="false" customHeight="true" outlineLevel="0" collapsed="false">
      <c r="B38" s="43" t="s">
        <v>165</v>
      </c>
      <c r="C38" s="44" t="s">
        <v>166</v>
      </c>
      <c r="D38" s="45"/>
    </row>
    <row r="39" customFormat="false" ht="18.75" hidden="false" customHeight="true" outlineLevel="0" collapsed="false">
      <c r="B39" s="43" t="s">
        <v>167</v>
      </c>
      <c r="C39" s="44" t="s">
        <v>168</v>
      </c>
      <c r="D39" s="45"/>
    </row>
    <row r="41" customFormat="false" ht="24" hidden="false" customHeight="true" outlineLevel="0" collapsed="false">
      <c r="B41" s="41" t="s">
        <v>169</v>
      </c>
    </row>
    <row r="42" customFormat="false" ht="18.75" hidden="false" customHeight="true" outlineLevel="0" collapsed="false">
      <c r="B42" s="43" t="s">
        <v>170</v>
      </c>
      <c r="C42" s="44" t="s">
        <v>171</v>
      </c>
      <c r="D42" s="45" t="s">
        <v>172</v>
      </c>
    </row>
    <row r="43" customFormat="false" ht="18.75" hidden="false" customHeight="true" outlineLevel="0" collapsed="false">
      <c r="B43" s="43" t="s">
        <v>173</v>
      </c>
      <c r="C43" s="44" t="s">
        <v>174</v>
      </c>
      <c r="D43" s="45" t="s">
        <v>175</v>
      </c>
    </row>
    <row r="44" customFormat="false" ht="18.75" hidden="false" customHeight="true" outlineLevel="0" collapsed="false">
      <c r="B44" s="43" t="s">
        <v>176</v>
      </c>
      <c r="C44" s="44" t="s">
        <v>177</v>
      </c>
      <c r="D44" s="45"/>
    </row>
    <row r="45" customFormat="false" ht="18.75" hidden="false" customHeight="true" outlineLevel="0" collapsed="false">
      <c r="B45" s="43" t="s">
        <v>178</v>
      </c>
      <c r="C45" s="44" t="s">
        <v>179</v>
      </c>
      <c r="D45" s="45"/>
    </row>
    <row r="46" customFormat="false" ht="18.75" hidden="false" customHeight="true" outlineLevel="0" collapsed="false">
      <c r="B46" s="43" t="s">
        <v>180</v>
      </c>
      <c r="C46" s="44" t="s">
        <v>181</v>
      </c>
      <c r="D46" s="45" t="s">
        <v>182</v>
      </c>
    </row>
    <row r="47" customFormat="false" ht="18.75" hidden="false" customHeight="true" outlineLevel="0" collapsed="false">
      <c r="B47" s="43" t="s">
        <v>183</v>
      </c>
      <c r="C47" s="44" t="s">
        <v>184</v>
      </c>
      <c r="D47" s="45"/>
    </row>
    <row r="48" customFormat="false" ht="18.75" hidden="false" customHeight="true" outlineLevel="0" collapsed="false">
      <c r="B48" s="43" t="s">
        <v>185</v>
      </c>
      <c r="C48" s="44" t="s">
        <v>186</v>
      </c>
      <c r="D48" s="45"/>
    </row>
    <row r="49" customFormat="false" ht="18.75" hidden="false" customHeight="true" outlineLevel="0" collapsed="false">
      <c r="B49" s="43" t="s">
        <v>187</v>
      </c>
      <c r="C49" s="44" t="s">
        <v>188</v>
      </c>
      <c r="D49" s="45"/>
    </row>
    <row r="51" customFormat="false" ht="15" hidden="false" customHeight="false" outlineLevel="0" collapsed="false">
      <c r="B51" s="35" t="s">
        <v>46</v>
      </c>
    </row>
  </sheetData>
  <dataValidations count="3">
    <dataValidation allowBlank="false" errorStyle="stop" operator="between" showDropDown="false" showErrorMessage="false" showInputMessage="false" sqref="C13" type="list">
      <formula1>$F$7:$F$16</formula1>
      <formula2>0</formula2>
    </dataValidation>
    <dataValidation allowBlank="false" errorStyle="stop" operator="between" showDropDown="false" showErrorMessage="false" showInputMessage="false" sqref="C16" type="list">
      <formula1>$F$19:$F$21</formula1>
      <formula2>0</formula2>
    </dataValidation>
    <dataValidation allowBlank="false" errorStyle="stop" operator="between" showDropDown="false" showErrorMessage="false" showInputMessage="false" sqref="C19" type="list">
      <formula1>"0/100,50/50,% estimate"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&amp;C&amp;"Arial,Italic"&amp;8© Carlos Alberto Ruiz Brito · 14/10/2026 · Delivery con Charly Brito · carlosruizbrito.com · CC BY 4.0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"/>
    <col collapsed="false" customWidth="true" hidden="false" outlineLevel="0" max="5" min="3" style="1" width="13"/>
    <col collapsed="false" customWidth="true" hidden="false" outlineLevel="0" max="8" min="6" style="1" width="16"/>
    <col collapsed="false" customWidth="true" hidden="false" outlineLevel="0" max="10" min="9" style="1" width="10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5" min="15" style="1" width="12"/>
    <col collapsed="false" customWidth="true" hidden="false" outlineLevel="0" max="16" min="16" style="1" width="2"/>
    <col collapsed="false" customWidth="true" hidden="true" outlineLevel="0" max="19" min="17" style="1" width="13"/>
  </cols>
  <sheetData>
    <row r="1" customFormat="false" ht="30" hidden="false" customHeight="true" outlineLevel="0" collapsed="false">
      <c r="A1" s="2"/>
      <c r="B1" s="36" t="s">
        <v>189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2"/>
      <c r="B2" s="37" t="s">
        <v>190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36" hidden="false" customHeight="true" outlineLevel="0" collapsed="false">
      <c r="B5" s="40" t="str">
        <f aca="false">Settings!$C$10</f>
        <v>Week</v>
      </c>
      <c r="C5" s="40" t="s">
        <v>191</v>
      </c>
      <c r="D5" s="40" t="s">
        <v>192</v>
      </c>
      <c r="E5" s="40" t="s">
        <v>193</v>
      </c>
      <c r="F5" s="40" t="str">
        <f aca="false">"Planned cost PV ("&amp;Settings!$C$13&amp;")"</f>
        <v>Planned cost PV (USD)</v>
      </c>
      <c r="G5" s="40" t="str">
        <f aca="false">"Actual cost AC ("&amp;Settings!$C$13&amp;")"</f>
        <v>Actual cost AC (USD)</v>
      </c>
      <c r="H5" s="40" t="str">
        <f aca="false">"Earned value EV ("&amp;Settings!$C$13&amp;")"</f>
        <v>Earned value EV (USD)</v>
      </c>
      <c r="I5" s="40" t="s">
        <v>194</v>
      </c>
      <c r="J5" s="40" t="s">
        <v>195</v>
      </c>
      <c r="K5" s="40" t="s">
        <v>196</v>
      </c>
      <c r="L5" s="40" t="s">
        <v>24</v>
      </c>
      <c r="M5" s="40" t="s">
        <v>197</v>
      </c>
      <c r="N5" s="40" t="s">
        <v>65</v>
      </c>
      <c r="O5" s="40" t="s">
        <v>198</v>
      </c>
      <c r="Q5" s="24" t="s">
        <v>194</v>
      </c>
      <c r="R5" s="24" t="s">
        <v>65</v>
      </c>
      <c r="S5" s="24" t="s">
        <v>195</v>
      </c>
    </row>
    <row r="6" customFormat="false" ht="18" hidden="false" customHeight="true" outlineLevel="0" collapsed="false">
      <c r="B6" s="54" t="n">
        <v>1</v>
      </c>
      <c r="C6" s="55" t="n">
        <v>46262</v>
      </c>
      <c r="D6" s="56" t="n">
        <v>0.03</v>
      </c>
      <c r="E6" s="56" t="n">
        <v>0.03</v>
      </c>
      <c r="F6" s="57" t="n">
        <v>72000</v>
      </c>
      <c r="G6" s="57" t="n">
        <v>72000</v>
      </c>
      <c r="H6" s="58" t="n">
        <f aca="false">IF(E6="","",E6*Settings!$C$15)</f>
        <v>72000</v>
      </c>
      <c r="I6" s="59" t="n">
        <f aca="false">IF(OR(H6="",F6="",F6=0),"",H6/F6)</f>
        <v>1</v>
      </c>
      <c r="J6" s="59" t="n">
        <f aca="false">IF(OR(H6="",G6="",G6=0),"",H6/G6)</f>
        <v>1</v>
      </c>
      <c r="K6" s="60" t="n">
        <f aca="false">IF(E6="","",E6-D6)</f>
        <v>0</v>
      </c>
      <c r="L6" s="61" t="str">
        <f aca="false">IF(E6="","",IF(OR(-K6&gt;=Settings!$C$22,I6&lt;Settings!$C$24,J6&lt;Settings!$C$24),"● "&amp;Settings!$C$33,IF(OR(-K6&gt;=Settings!$C$21,I6&lt;Settings!$C$23,J6&lt;Settings!$C$23),"● "&amp;Settings!$C$32,"● "&amp;Settings!$C$31)))</f>
        <v>● On track</v>
      </c>
      <c r="M6" s="62" t="n">
        <f aca="false">IF(OR(H6="",B6=""),"",IF(COUNTIF($F$6:$F$29,"&lt;="&amp;H6)&gt;=COUNT($F$6:$F$29),COUNT($F$6:$F$29),COUNTIF($F$6:$F$29,"&lt;="&amp;H6)+(H6-IF(COUNTIF($F$6:$F$29,"&lt;="&amp;H6)=0,0,INDEX($F$6:$F$29,COUNTIF($F$6:$F$29,"&lt;="&amp;H6))))/(INDEX($F$6:$F$29,COUNTIF($F$6:$F$29,"&lt;="&amp;H6)+1)-IF(COUNTIF($F$6:$F$29,"&lt;="&amp;H6)=0,0,INDEX($F$6:$F$29,COUNTIF($F$6:$F$29,"&lt;="&amp;H6))))))</f>
        <v>1</v>
      </c>
      <c r="N6" s="59" t="n">
        <f aca="false">IF(M6="","",M6/B6)</f>
        <v>1</v>
      </c>
      <c r="O6" s="63" t="n">
        <f aca="false">IF(M6="","",M6-B6)</f>
        <v>0</v>
      </c>
      <c r="Q6" s="64" t="n">
        <f aca="false">IF(I6="",NA(),I6)</f>
        <v>1</v>
      </c>
      <c r="R6" s="64" t="n">
        <f aca="false">IF(N6="",NA(),N6)</f>
        <v>1</v>
      </c>
      <c r="S6" s="64" t="n">
        <f aca="false">IF(J6="",NA(),J6)</f>
        <v>1</v>
      </c>
    </row>
    <row r="7" customFormat="false" ht="18" hidden="false" customHeight="true" outlineLevel="0" collapsed="false">
      <c r="B7" s="54" t="n">
        <v>2</v>
      </c>
      <c r="C7" s="55" t="n">
        <v>46269</v>
      </c>
      <c r="D7" s="56" t="n">
        <v>0.08</v>
      </c>
      <c r="E7" s="56" t="n">
        <v>0.08</v>
      </c>
      <c r="F7" s="57" t="n">
        <v>192000</v>
      </c>
      <c r="G7" s="57" t="n">
        <v>195000</v>
      </c>
      <c r="H7" s="58" t="n">
        <f aca="false">IF(E7="","",E7*Settings!$C$15)</f>
        <v>192000</v>
      </c>
      <c r="I7" s="59" t="n">
        <f aca="false">IF(OR(H7="",F7="",F7=0),"",H7/F7)</f>
        <v>1</v>
      </c>
      <c r="J7" s="59" t="n">
        <f aca="false">IF(OR(H7="",G7="",G7=0),"",H7/G7)</f>
        <v>0.984615384615385</v>
      </c>
      <c r="K7" s="60" t="n">
        <f aca="false">IF(E7="","",E7-D7)</f>
        <v>0</v>
      </c>
      <c r="L7" s="61" t="str">
        <f aca="false">IF(E7="","",IF(OR(-K7&gt;=Settings!$C$22,I7&lt;Settings!$C$24,J7&lt;Settings!$C$24),"● "&amp;Settings!$C$33,IF(OR(-K7&gt;=Settings!$C$21,I7&lt;Settings!$C$23,J7&lt;Settings!$C$23),"● "&amp;Settings!$C$32,"● "&amp;Settings!$C$31)))</f>
        <v>● On track</v>
      </c>
      <c r="M7" s="62" t="n">
        <f aca="false">IF(OR(H7="",B7=""),"",IF(COUNTIF($F$6:$F$29,"&lt;="&amp;H7)&gt;=COUNT($F$6:$F$29),COUNT($F$6:$F$29),COUNTIF($F$6:$F$29,"&lt;="&amp;H7)+(H7-IF(COUNTIF($F$6:$F$29,"&lt;="&amp;H7)=0,0,INDEX($F$6:$F$29,COUNTIF($F$6:$F$29,"&lt;="&amp;H7))))/(INDEX($F$6:$F$29,COUNTIF($F$6:$F$29,"&lt;="&amp;H7)+1)-IF(COUNTIF($F$6:$F$29,"&lt;="&amp;H7)=0,0,INDEX($F$6:$F$29,COUNTIF($F$6:$F$29,"&lt;="&amp;H7))))))</f>
        <v>2</v>
      </c>
      <c r="N7" s="59" t="n">
        <f aca="false">IF(M7="","",M7/B7)</f>
        <v>1</v>
      </c>
      <c r="O7" s="63" t="n">
        <f aca="false">IF(M7="","",M7-B7)</f>
        <v>0</v>
      </c>
      <c r="Q7" s="64" t="n">
        <f aca="false">IF(I7="",NA(),I7)</f>
        <v>1</v>
      </c>
      <c r="R7" s="64" t="n">
        <f aca="false">IF(N7="",NA(),N7)</f>
        <v>1</v>
      </c>
      <c r="S7" s="64" t="n">
        <f aca="false">IF(J7="",NA(),J7)</f>
        <v>0.984615384615385</v>
      </c>
    </row>
    <row r="8" customFormat="false" ht="18" hidden="false" customHeight="true" outlineLevel="0" collapsed="false">
      <c r="B8" s="54" t="n">
        <v>3</v>
      </c>
      <c r="C8" s="55" t="n">
        <v>46276</v>
      </c>
      <c r="D8" s="56" t="n">
        <v>0.15</v>
      </c>
      <c r="E8" s="56" t="n">
        <v>0.14</v>
      </c>
      <c r="F8" s="57" t="n">
        <v>360000</v>
      </c>
      <c r="G8" s="57" t="n">
        <v>345000</v>
      </c>
      <c r="H8" s="58" t="n">
        <f aca="false">IF(E8="","",E8*Settings!$C$15)</f>
        <v>336000</v>
      </c>
      <c r="I8" s="59" t="n">
        <f aca="false">IF(OR(H8="",F8="",F8=0),"",H8/F8)</f>
        <v>0.933333333333334</v>
      </c>
      <c r="J8" s="59" t="n">
        <f aca="false">IF(OR(H8="",G8="",G8=0),"",H8/G8)</f>
        <v>0.973913043478261</v>
      </c>
      <c r="K8" s="60" t="n">
        <f aca="false">IF(E8="","",E8-D8)</f>
        <v>-0.00999999999999998</v>
      </c>
      <c r="L8" s="61" t="str">
        <f aca="false">IF(E8="","",IF(OR(-K8&gt;=Settings!$C$22,I8&lt;Settings!$C$24,J8&lt;Settings!$C$24),"● "&amp;Settings!$C$33,IF(OR(-K8&gt;=Settings!$C$21,I8&lt;Settings!$C$23,J8&lt;Settings!$C$23),"● "&amp;Settings!$C$32,"● "&amp;Settings!$C$31)))</f>
        <v>● At risk</v>
      </c>
      <c r="M8" s="62" t="n">
        <f aca="false">IF(OR(H8="",B8=""),"",IF(COUNTIF($F$6:$F$29,"&lt;="&amp;H8)&gt;=COUNT($F$6:$F$29),COUNT($F$6:$F$29),COUNTIF($F$6:$F$29,"&lt;="&amp;H8)+(H8-IF(COUNTIF($F$6:$F$29,"&lt;="&amp;H8)=0,0,INDEX($F$6:$F$29,COUNTIF($F$6:$F$29,"&lt;="&amp;H8))))/(INDEX($F$6:$F$29,COUNTIF($F$6:$F$29,"&lt;="&amp;H8)+1)-IF(COUNTIF($F$6:$F$29,"&lt;="&amp;H8)=0,0,INDEX($F$6:$F$29,COUNTIF($F$6:$F$29,"&lt;="&amp;H8))))))</f>
        <v>2.85714285714286</v>
      </c>
      <c r="N8" s="59" t="n">
        <f aca="false">IF(M8="","",M8/B8)</f>
        <v>0.952380952380953</v>
      </c>
      <c r="O8" s="63" t="n">
        <f aca="false">IF(M8="","",M8-B8)</f>
        <v>-0.142857142857142</v>
      </c>
      <c r="Q8" s="64" t="n">
        <f aca="false">IF(I8="",NA(),I8)</f>
        <v>0.933333333333334</v>
      </c>
      <c r="R8" s="64" t="n">
        <f aca="false">IF(N8="",NA(),N8)</f>
        <v>0.952380952380953</v>
      </c>
      <c r="S8" s="64" t="n">
        <f aca="false">IF(J8="",NA(),J8)</f>
        <v>0.973913043478261</v>
      </c>
    </row>
    <row r="9" customFormat="false" ht="18" hidden="false" customHeight="true" outlineLevel="0" collapsed="false">
      <c r="B9" s="54" t="n">
        <v>4</v>
      </c>
      <c r="C9" s="55" t="n">
        <v>46283</v>
      </c>
      <c r="D9" s="56" t="n">
        <v>0.24</v>
      </c>
      <c r="E9" s="56" t="n">
        <v>0.22</v>
      </c>
      <c r="F9" s="57" t="n">
        <v>576000</v>
      </c>
      <c r="G9" s="57" t="n">
        <v>540000</v>
      </c>
      <c r="H9" s="58" t="n">
        <f aca="false">IF(E9="","",E9*Settings!$C$15)</f>
        <v>528000</v>
      </c>
      <c r="I9" s="59" t="n">
        <f aca="false">IF(OR(H9="",F9="",F9=0),"",H9/F9)</f>
        <v>0.916666666666667</v>
      </c>
      <c r="J9" s="59" t="n">
        <f aca="false">IF(OR(H9="",G9="",G9=0),"",H9/G9)</f>
        <v>0.977777777777778</v>
      </c>
      <c r="K9" s="60" t="n">
        <f aca="false">IF(E9="","",E9-D9)</f>
        <v>-0.02</v>
      </c>
      <c r="L9" s="61" t="str">
        <f aca="false">IF(E9="","",IF(OR(-K9&gt;=Settings!$C$22,I9&lt;Settings!$C$24,J9&lt;Settings!$C$24),"● "&amp;Settings!$C$33,IF(OR(-K9&gt;=Settings!$C$21,I9&lt;Settings!$C$23,J9&lt;Settings!$C$23),"● "&amp;Settings!$C$32,"● "&amp;Settings!$C$31)))</f>
        <v>● At risk</v>
      </c>
      <c r="M9" s="62" t="n">
        <f aca="false">IF(OR(H9="",B9=""),"",IF(COUNTIF($F$6:$F$29,"&lt;="&amp;H9)&gt;=COUNT($F$6:$F$29),COUNT($F$6:$F$29),COUNTIF($F$6:$F$29,"&lt;="&amp;H9)+(H9-IF(COUNTIF($F$6:$F$29,"&lt;="&amp;H9)=0,0,INDEX($F$6:$F$29,COUNTIF($F$6:$F$29,"&lt;="&amp;H9))))/(INDEX($F$6:$F$29,COUNTIF($F$6:$F$29,"&lt;="&amp;H9)+1)-IF(COUNTIF($F$6:$F$29,"&lt;="&amp;H9)=0,0,INDEX($F$6:$F$29,COUNTIF($F$6:$F$29,"&lt;="&amp;H9))))))</f>
        <v>3.77777777777778</v>
      </c>
      <c r="N9" s="59" t="n">
        <f aca="false">IF(M9="","",M9/B9)</f>
        <v>0.944444444444444</v>
      </c>
      <c r="O9" s="63" t="n">
        <f aca="false">IF(M9="","",M9-B9)</f>
        <v>-0.222222222222222</v>
      </c>
      <c r="Q9" s="64" t="n">
        <f aca="false">IF(I9="",NA(),I9)</f>
        <v>0.916666666666667</v>
      </c>
      <c r="R9" s="64" t="n">
        <f aca="false">IF(N9="",NA(),N9)</f>
        <v>0.944444444444444</v>
      </c>
      <c r="S9" s="64" t="n">
        <f aca="false">IF(J9="",NA(),J9)</f>
        <v>0.977777777777778</v>
      </c>
    </row>
    <row r="10" customFormat="false" ht="18" hidden="false" customHeight="true" outlineLevel="0" collapsed="false">
      <c r="B10" s="54" t="n">
        <v>5</v>
      </c>
      <c r="C10" s="55" t="n">
        <v>46290</v>
      </c>
      <c r="D10" s="56" t="n">
        <v>0.34</v>
      </c>
      <c r="E10" s="56" t="n">
        <v>0.31</v>
      </c>
      <c r="F10" s="57" t="n">
        <v>816000</v>
      </c>
      <c r="G10" s="57" t="n">
        <v>760000</v>
      </c>
      <c r="H10" s="58" t="n">
        <f aca="false">IF(E10="","",E10*Settings!$C$15)</f>
        <v>744000</v>
      </c>
      <c r="I10" s="59" t="n">
        <f aca="false">IF(OR(H10="",F10="",F10=0),"",H10/F10)</f>
        <v>0.911764705882353</v>
      </c>
      <c r="J10" s="59" t="n">
        <f aca="false">IF(OR(H10="",G10="",G10=0),"",H10/G10)</f>
        <v>0.978947368421053</v>
      </c>
      <c r="K10" s="60" t="n">
        <f aca="false">IF(E10="","",E10-D10)</f>
        <v>-0.03</v>
      </c>
      <c r="L10" s="61" t="str">
        <f aca="false">IF(E10="","",IF(OR(-K10&gt;=Settings!$C$22,I10&lt;Settings!$C$24,J10&lt;Settings!$C$24),"● "&amp;Settings!$C$33,IF(OR(-K10&gt;=Settings!$C$21,I10&lt;Settings!$C$23,J10&lt;Settings!$C$23),"● "&amp;Settings!$C$32,"● "&amp;Settings!$C$31)))</f>
        <v>● At risk</v>
      </c>
      <c r="M10" s="62" t="n">
        <f aca="false">IF(OR(H10="",B10=""),"",IF(COUNTIF($F$6:$F$29,"&lt;="&amp;H10)&gt;=COUNT($F$6:$F$29),COUNT($F$6:$F$29),COUNTIF($F$6:$F$29,"&lt;="&amp;H10)+(H10-IF(COUNTIF($F$6:$F$29,"&lt;="&amp;H10)=0,0,INDEX($F$6:$F$29,COUNTIF($F$6:$F$29,"&lt;="&amp;H10))))/(INDEX($F$6:$F$29,COUNTIF($F$6:$F$29,"&lt;="&amp;H10)+1)-IF(COUNTIF($F$6:$F$29,"&lt;="&amp;H10)=0,0,INDEX($F$6:$F$29,COUNTIF($F$6:$F$29,"&lt;="&amp;H10))))))</f>
        <v>4.7</v>
      </c>
      <c r="N10" s="59" t="n">
        <f aca="false">IF(M10="","",M10/B10)</f>
        <v>0.94</v>
      </c>
      <c r="O10" s="63" t="n">
        <f aca="false">IF(M10="","",M10-B10)</f>
        <v>-0.3</v>
      </c>
      <c r="Q10" s="64" t="n">
        <f aca="false">IF(I10="",NA(),I10)</f>
        <v>0.911764705882353</v>
      </c>
      <c r="R10" s="64" t="n">
        <f aca="false">IF(N10="",NA(),N10)</f>
        <v>0.94</v>
      </c>
      <c r="S10" s="64" t="n">
        <f aca="false">IF(J10="",NA(),J10)</f>
        <v>0.978947368421053</v>
      </c>
    </row>
    <row r="11" customFormat="false" ht="18" hidden="false" customHeight="true" outlineLevel="0" collapsed="false">
      <c r="B11" s="54" t="n">
        <v>6</v>
      </c>
      <c r="C11" s="55" t="n">
        <v>46297</v>
      </c>
      <c r="D11" s="56" t="n">
        <v>0.45</v>
      </c>
      <c r="E11" s="56" t="n">
        <v>0.41</v>
      </c>
      <c r="F11" s="57" t="n">
        <v>1080000</v>
      </c>
      <c r="G11" s="57" t="n">
        <v>1000000</v>
      </c>
      <c r="H11" s="58" t="n">
        <f aca="false">IF(E11="","",E11*Settings!$C$15)</f>
        <v>984000</v>
      </c>
      <c r="I11" s="59" t="n">
        <f aca="false">IF(OR(H11="",F11="",F11=0),"",H11/F11)</f>
        <v>0.911111111111111</v>
      </c>
      <c r="J11" s="59" t="n">
        <f aca="false">IF(OR(H11="",G11="",G11=0),"",H11/G11)</f>
        <v>0.984</v>
      </c>
      <c r="K11" s="60" t="n">
        <f aca="false">IF(E11="","",E11-D11)</f>
        <v>-0.04</v>
      </c>
      <c r="L11" s="61" t="str">
        <f aca="false">IF(E11="","",IF(OR(-K11&gt;=Settings!$C$22,I11&lt;Settings!$C$24,J11&lt;Settings!$C$24),"● "&amp;Settings!$C$33,IF(OR(-K11&gt;=Settings!$C$21,I11&lt;Settings!$C$23,J11&lt;Settings!$C$23),"● "&amp;Settings!$C$32,"● "&amp;Settings!$C$31)))</f>
        <v>● At risk</v>
      </c>
      <c r="M11" s="62" t="n">
        <f aca="false">IF(OR(H11="",B11=""),"",IF(COUNTIF($F$6:$F$29,"&lt;="&amp;H11)&gt;=COUNT($F$6:$F$29),COUNT($F$6:$F$29),COUNTIF($F$6:$F$29,"&lt;="&amp;H11)+(H11-IF(COUNTIF($F$6:$F$29,"&lt;="&amp;H11)=0,0,INDEX($F$6:$F$29,COUNTIF($F$6:$F$29,"&lt;="&amp;H11))))/(INDEX($F$6:$F$29,COUNTIF($F$6:$F$29,"&lt;="&amp;H11)+1)-IF(COUNTIF($F$6:$F$29,"&lt;="&amp;H11)=0,0,INDEX($F$6:$F$29,COUNTIF($F$6:$F$29,"&lt;="&amp;H11))))))</f>
        <v>5.63636363636364</v>
      </c>
      <c r="N11" s="59" t="n">
        <f aca="false">IF(M11="","",M11/B11)</f>
        <v>0.939393939393939</v>
      </c>
      <c r="O11" s="63" t="n">
        <f aca="false">IF(M11="","",M11-B11)</f>
        <v>-0.363636363636364</v>
      </c>
      <c r="Q11" s="64" t="n">
        <f aca="false">IF(I11="",NA(),I11)</f>
        <v>0.911111111111111</v>
      </c>
      <c r="R11" s="64" t="n">
        <f aca="false">IF(N11="",NA(),N11)</f>
        <v>0.939393939393939</v>
      </c>
      <c r="S11" s="64" t="n">
        <f aca="false">IF(J11="",NA(),J11)</f>
        <v>0.984</v>
      </c>
    </row>
    <row r="12" customFormat="false" ht="18" hidden="false" customHeight="true" outlineLevel="0" collapsed="false">
      <c r="B12" s="54" t="n">
        <v>7</v>
      </c>
      <c r="C12" s="55" t="n">
        <v>46304</v>
      </c>
      <c r="D12" s="56" t="n">
        <v>0.56</v>
      </c>
      <c r="E12" s="56"/>
      <c r="F12" s="57" t="n">
        <v>1344000</v>
      </c>
      <c r="G12" s="57"/>
      <c r="H12" s="58" t="str">
        <f aca="false">IF(E12="","",E12*Settings!$C$15)</f>
        <v/>
      </c>
      <c r="I12" s="59" t="str">
        <f aca="false">IF(OR(H12="",F12="",F12=0),"",H12/F12)</f>
        <v/>
      </c>
      <c r="J12" s="59" t="str">
        <f aca="false">IF(OR(H12="",G12="",G12=0),"",H12/G12)</f>
        <v/>
      </c>
      <c r="K12" s="60" t="str">
        <f aca="false">IF(E12="","",E12-D12)</f>
        <v/>
      </c>
      <c r="L12" s="61" t="str">
        <f aca="false">IF(E12="","",IF(OR(-K12&gt;=Settings!$C$22,I12&lt;Settings!$C$24,J12&lt;Settings!$C$24),"● "&amp;Settings!$C$33,IF(OR(-K12&gt;=Settings!$C$21,I12&lt;Settings!$C$23,J12&lt;Settings!$C$23),"● "&amp;Settings!$C$32,"● "&amp;Settings!$C$31)))</f>
        <v/>
      </c>
      <c r="M12" s="62" t="str">
        <f aca="false">IF(OR(H12="",B12=""),"",IF(COUNTIF($F$6:$F$29,"&lt;="&amp;H12)&gt;=COUNT($F$6:$F$29),COUNT($F$6:$F$29),COUNTIF($F$6:$F$29,"&lt;="&amp;H12)+(H12-IF(COUNTIF($F$6:$F$29,"&lt;="&amp;H12)=0,0,INDEX($F$6:$F$29,COUNTIF($F$6:$F$29,"&lt;="&amp;H12))))/(INDEX($F$6:$F$29,COUNTIF($F$6:$F$29,"&lt;="&amp;H12)+1)-IF(COUNTIF($F$6:$F$29,"&lt;="&amp;H12)=0,0,INDEX($F$6:$F$29,COUNTIF($F$6:$F$29,"&lt;="&amp;H12))))))</f>
        <v/>
      </c>
      <c r="N12" s="59" t="str">
        <f aca="false">IF(M12="","",M12/B12)</f>
        <v/>
      </c>
      <c r="O12" s="63" t="str">
        <f aca="false">IF(M12="","",M12-B12)</f>
        <v/>
      </c>
      <c r="Q12" s="24" t="e">
        <f aca="false">IF(I12="",NA(),I12)</f>
        <v>#N/A</v>
      </c>
      <c r="R12" s="24" t="e">
        <f aca="false">IF(N12="",NA(),N12)</f>
        <v>#N/A</v>
      </c>
      <c r="S12" s="24" t="e">
        <f aca="false">IF(J12="",NA(),J12)</f>
        <v>#N/A</v>
      </c>
    </row>
    <row r="13" customFormat="false" ht="18" hidden="false" customHeight="true" outlineLevel="0" collapsed="false">
      <c r="B13" s="54" t="n">
        <v>8</v>
      </c>
      <c r="C13" s="55" t="n">
        <v>46311</v>
      </c>
      <c r="D13" s="56" t="n">
        <v>0.67</v>
      </c>
      <c r="E13" s="56"/>
      <c r="F13" s="57" t="n">
        <v>1608000</v>
      </c>
      <c r="G13" s="57"/>
      <c r="H13" s="58" t="str">
        <f aca="false">IF(E13="","",E13*Settings!$C$15)</f>
        <v/>
      </c>
      <c r="I13" s="59" t="str">
        <f aca="false">IF(OR(H13="",F13="",F13=0),"",H13/F13)</f>
        <v/>
      </c>
      <c r="J13" s="59" t="str">
        <f aca="false">IF(OR(H13="",G13="",G13=0),"",H13/G13)</f>
        <v/>
      </c>
      <c r="K13" s="60" t="str">
        <f aca="false">IF(E13="","",E13-D13)</f>
        <v/>
      </c>
      <c r="L13" s="61" t="str">
        <f aca="false">IF(E13="","",IF(OR(-K13&gt;=Settings!$C$22,I13&lt;Settings!$C$24,J13&lt;Settings!$C$24),"● "&amp;Settings!$C$33,IF(OR(-K13&gt;=Settings!$C$21,I13&lt;Settings!$C$23,J13&lt;Settings!$C$23),"● "&amp;Settings!$C$32,"● "&amp;Settings!$C$31)))</f>
        <v/>
      </c>
      <c r="M13" s="62" t="str">
        <f aca="false">IF(OR(H13="",B13=""),"",IF(COUNTIF($F$6:$F$29,"&lt;="&amp;H13)&gt;=COUNT($F$6:$F$29),COUNT($F$6:$F$29),COUNTIF($F$6:$F$29,"&lt;="&amp;H13)+(H13-IF(COUNTIF($F$6:$F$29,"&lt;="&amp;H13)=0,0,INDEX($F$6:$F$29,COUNTIF($F$6:$F$29,"&lt;="&amp;H13))))/(INDEX($F$6:$F$29,COUNTIF($F$6:$F$29,"&lt;="&amp;H13)+1)-IF(COUNTIF($F$6:$F$29,"&lt;="&amp;H13)=0,0,INDEX($F$6:$F$29,COUNTIF($F$6:$F$29,"&lt;="&amp;H13))))))</f>
        <v/>
      </c>
      <c r="N13" s="59" t="str">
        <f aca="false">IF(M13="","",M13/B13)</f>
        <v/>
      </c>
      <c r="O13" s="63" t="str">
        <f aca="false">IF(M13="","",M13-B13)</f>
        <v/>
      </c>
      <c r="Q13" s="24" t="e">
        <f aca="false">IF(I13="",NA(),I13)</f>
        <v>#N/A</v>
      </c>
      <c r="R13" s="24" t="e">
        <f aca="false">IF(N13="",NA(),N13)</f>
        <v>#N/A</v>
      </c>
      <c r="S13" s="24" t="e">
        <f aca="false">IF(J13="",NA(),J13)</f>
        <v>#N/A</v>
      </c>
    </row>
    <row r="14" customFormat="false" ht="18" hidden="false" customHeight="true" outlineLevel="0" collapsed="false">
      <c r="B14" s="54" t="n">
        <v>9</v>
      </c>
      <c r="C14" s="55" t="n">
        <v>46318</v>
      </c>
      <c r="D14" s="56" t="n">
        <v>0.77</v>
      </c>
      <c r="E14" s="56"/>
      <c r="F14" s="57" t="n">
        <v>1848000</v>
      </c>
      <c r="G14" s="57"/>
      <c r="H14" s="58" t="str">
        <f aca="false">IF(E14="","",E14*Settings!$C$15)</f>
        <v/>
      </c>
      <c r="I14" s="59" t="str">
        <f aca="false">IF(OR(H14="",F14="",F14=0),"",H14/F14)</f>
        <v/>
      </c>
      <c r="J14" s="59" t="str">
        <f aca="false">IF(OR(H14="",G14="",G14=0),"",H14/G14)</f>
        <v/>
      </c>
      <c r="K14" s="60" t="str">
        <f aca="false">IF(E14="","",E14-D14)</f>
        <v/>
      </c>
      <c r="L14" s="61" t="str">
        <f aca="false">IF(E14="","",IF(OR(-K14&gt;=Settings!$C$22,I14&lt;Settings!$C$24,J14&lt;Settings!$C$24),"● "&amp;Settings!$C$33,IF(OR(-K14&gt;=Settings!$C$21,I14&lt;Settings!$C$23,J14&lt;Settings!$C$23),"● "&amp;Settings!$C$32,"● "&amp;Settings!$C$31)))</f>
        <v/>
      </c>
      <c r="M14" s="62" t="str">
        <f aca="false">IF(OR(H14="",B14=""),"",IF(COUNTIF($F$6:$F$29,"&lt;="&amp;H14)&gt;=COUNT($F$6:$F$29),COUNT($F$6:$F$29),COUNTIF($F$6:$F$29,"&lt;="&amp;H14)+(H14-IF(COUNTIF($F$6:$F$29,"&lt;="&amp;H14)=0,0,INDEX($F$6:$F$29,COUNTIF($F$6:$F$29,"&lt;="&amp;H14))))/(INDEX($F$6:$F$29,COUNTIF($F$6:$F$29,"&lt;="&amp;H14)+1)-IF(COUNTIF($F$6:$F$29,"&lt;="&amp;H14)=0,0,INDEX($F$6:$F$29,COUNTIF($F$6:$F$29,"&lt;="&amp;H14))))))</f>
        <v/>
      </c>
      <c r="N14" s="59" t="str">
        <f aca="false">IF(M14="","",M14/B14)</f>
        <v/>
      </c>
      <c r="O14" s="63" t="str">
        <f aca="false">IF(M14="","",M14-B14)</f>
        <v/>
      </c>
      <c r="Q14" s="24" t="e">
        <f aca="false">IF(I14="",NA(),I14)</f>
        <v>#N/A</v>
      </c>
      <c r="R14" s="24" t="e">
        <f aca="false">IF(N14="",NA(),N14)</f>
        <v>#N/A</v>
      </c>
      <c r="S14" s="24" t="e">
        <f aca="false">IF(J14="",NA(),J14)</f>
        <v>#N/A</v>
      </c>
    </row>
    <row r="15" customFormat="false" ht="18" hidden="false" customHeight="true" outlineLevel="0" collapsed="false">
      <c r="B15" s="54" t="n">
        <v>10</v>
      </c>
      <c r="C15" s="55" t="n">
        <v>46325</v>
      </c>
      <c r="D15" s="56" t="n">
        <v>0.86</v>
      </c>
      <c r="E15" s="56"/>
      <c r="F15" s="57" t="n">
        <v>2064000</v>
      </c>
      <c r="G15" s="57"/>
      <c r="H15" s="58" t="str">
        <f aca="false">IF(E15="","",E15*Settings!$C$15)</f>
        <v/>
      </c>
      <c r="I15" s="59" t="str">
        <f aca="false">IF(OR(H15="",F15="",F15=0),"",H15/F15)</f>
        <v/>
      </c>
      <c r="J15" s="59" t="str">
        <f aca="false">IF(OR(H15="",G15="",G15=0),"",H15/G15)</f>
        <v/>
      </c>
      <c r="K15" s="60" t="str">
        <f aca="false">IF(E15="","",E15-D15)</f>
        <v/>
      </c>
      <c r="L15" s="61" t="str">
        <f aca="false">IF(E15="","",IF(OR(-K15&gt;=Settings!$C$22,I15&lt;Settings!$C$24,J15&lt;Settings!$C$24),"● "&amp;Settings!$C$33,IF(OR(-K15&gt;=Settings!$C$21,I15&lt;Settings!$C$23,J15&lt;Settings!$C$23),"● "&amp;Settings!$C$32,"● "&amp;Settings!$C$31)))</f>
        <v/>
      </c>
      <c r="M15" s="62" t="str">
        <f aca="false">IF(OR(H15="",B15=""),"",IF(COUNTIF($F$6:$F$29,"&lt;="&amp;H15)&gt;=COUNT($F$6:$F$29),COUNT($F$6:$F$29),COUNTIF($F$6:$F$29,"&lt;="&amp;H15)+(H15-IF(COUNTIF($F$6:$F$29,"&lt;="&amp;H15)=0,0,INDEX($F$6:$F$29,COUNTIF($F$6:$F$29,"&lt;="&amp;H15))))/(INDEX($F$6:$F$29,COUNTIF($F$6:$F$29,"&lt;="&amp;H15)+1)-IF(COUNTIF($F$6:$F$29,"&lt;="&amp;H15)=0,0,INDEX($F$6:$F$29,COUNTIF($F$6:$F$29,"&lt;="&amp;H15))))))</f>
        <v/>
      </c>
      <c r="N15" s="59" t="str">
        <f aca="false">IF(M15="","",M15/B15)</f>
        <v/>
      </c>
      <c r="O15" s="63" t="str">
        <f aca="false">IF(M15="","",M15-B15)</f>
        <v/>
      </c>
      <c r="Q15" s="24" t="e">
        <f aca="false">IF(I15="",NA(),I15)</f>
        <v>#N/A</v>
      </c>
      <c r="R15" s="24" t="e">
        <f aca="false">IF(N15="",NA(),N15)</f>
        <v>#N/A</v>
      </c>
      <c r="S15" s="24" t="e">
        <f aca="false">IF(J15="",NA(),J15)</f>
        <v>#N/A</v>
      </c>
    </row>
    <row r="16" customFormat="false" ht="18" hidden="false" customHeight="true" outlineLevel="0" collapsed="false">
      <c r="B16" s="54" t="n">
        <v>11</v>
      </c>
      <c r="C16" s="55" t="n">
        <v>46332</v>
      </c>
      <c r="D16" s="56" t="n">
        <v>0.94</v>
      </c>
      <c r="E16" s="56"/>
      <c r="F16" s="57" t="n">
        <v>2256000</v>
      </c>
      <c r="G16" s="57"/>
      <c r="H16" s="58" t="str">
        <f aca="false">IF(E16="","",E16*Settings!$C$15)</f>
        <v/>
      </c>
      <c r="I16" s="59" t="str">
        <f aca="false">IF(OR(H16="",F16="",F16=0),"",H16/F16)</f>
        <v/>
      </c>
      <c r="J16" s="59" t="str">
        <f aca="false">IF(OR(H16="",G16="",G16=0),"",H16/G16)</f>
        <v/>
      </c>
      <c r="K16" s="60" t="str">
        <f aca="false">IF(E16="","",E16-D16)</f>
        <v/>
      </c>
      <c r="L16" s="61" t="str">
        <f aca="false">IF(E16="","",IF(OR(-K16&gt;=Settings!$C$22,I16&lt;Settings!$C$24,J16&lt;Settings!$C$24),"● "&amp;Settings!$C$33,IF(OR(-K16&gt;=Settings!$C$21,I16&lt;Settings!$C$23,J16&lt;Settings!$C$23),"● "&amp;Settings!$C$32,"● "&amp;Settings!$C$31)))</f>
        <v/>
      </c>
      <c r="M16" s="62" t="str">
        <f aca="false">IF(OR(H16="",B16=""),"",IF(COUNTIF($F$6:$F$29,"&lt;="&amp;H16)&gt;=COUNT($F$6:$F$29),COUNT($F$6:$F$29),COUNTIF($F$6:$F$29,"&lt;="&amp;H16)+(H16-IF(COUNTIF($F$6:$F$29,"&lt;="&amp;H16)=0,0,INDEX($F$6:$F$29,COUNTIF($F$6:$F$29,"&lt;="&amp;H16))))/(INDEX($F$6:$F$29,COUNTIF($F$6:$F$29,"&lt;="&amp;H16)+1)-IF(COUNTIF($F$6:$F$29,"&lt;="&amp;H16)=0,0,INDEX($F$6:$F$29,COUNTIF($F$6:$F$29,"&lt;="&amp;H16))))))</f>
        <v/>
      </c>
      <c r="N16" s="59" t="str">
        <f aca="false">IF(M16="","",M16/B16)</f>
        <v/>
      </c>
      <c r="O16" s="63" t="str">
        <f aca="false">IF(M16="","",M16-B16)</f>
        <v/>
      </c>
      <c r="Q16" s="24" t="e">
        <f aca="false">IF(I16="",NA(),I16)</f>
        <v>#N/A</v>
      </c>
      <c r="R16" s="24" t="e">
        <f aca="false">IF(N16="",NA(),N16)</f>
        <v>#N/A</v>
      </c>
      <c r="S16" s="24" t="e">
        <f aca="false">IF(J16="",NA(),J16)</f>
        <v>#N/A</v>
      </c>
    </row>
    <row r="17" customFormat="false" ht="18" hidden="false" customHeight="true" outlineLevel="0" collapsed="false">
      <c r="B17" s="54" t="n">
        <v>12</v>
      </c>
      <c r="C17" s="55" t="n">
        <v>46339</v>
      </c>
      <c r="D17" s="56" t="n">
        <v>1</v>
      </c>
      <c r="E17" s="56"/>
      <c r="F17" s="57" t="n">
        <v>2400000</v>
      </c>
      <c r="G17" s="57"/>
      <c r="H17" s="58" t="str">
        <f aca="false">IF(E17="","",E17*Settings!$C$15)</f>
        <v/>
      </c>
      <c r="I17" s="59" t="str">
        <f aca="false">IF(OR(H17="",F17="",F17=0),"",H17/F17)</f>
        <v/>
      </c>
      <c r="J17" s="59" t="str">
        <f aca="false">IF(OR(H17="",G17="",G17=0),"",H17/G17)</f>
        <v/>
      </c>
      <c r="K17" s="60" t="str">
        <f aca="false">IF(E17="","",E17-D17)</f>
        <v/>
      </c>
      <c r="L17" s="61" t="str">
        <f aca="false">IF(E17="","",IF(OR(-K17&gt;=Settings!$C$22,I17&lt;Settings!$C$24,J17&lt;Settings!$C$24),"● "&amp;Settings!$C$33,IF(OR(-K17&gt;=Settings!$C$21,I17&lt;Settings!$C$23,J17&lt;Settings!$C$23),"● "&amp;Settings!$C$32,"● "&amp;Settings!$C$31)))</f>
        <v/>
      </c>
      <c r="M17" s="62" t="str">
        <f aca="false">IF(OR(H17="",B17=""),"",IF(COUNTIF($F$6:$F$29,"&lt;="&amp;H17)&gt;=COUNT($F$6:$F$29),COUNT($F$6:$F$29),COUNTIF($F$6:$F$29,"&lt;="&amp;H17)+(H17-IF(COUNTIF($F$6:$F$29,"&lt;="&amp;H17)=0,0,INDEX($F$6:$F$29,COUNTIF($F$6:$F$29,"&lt;="&amp;H17))))/(INDEX($F$6:$F$29,COUNTIF($F$6:$F$29,"&lt;="&amp;H17)+1)-IF(COUNTIF($F$6:$F$29,"&lt;="&amp;H17)=0,0,INDEX($F$6:$F$29,COUNTIF($F$6:$F$29,"&lt;="&amp;H17))))))</f>
        <v/>
      </c>
      <c r="N17" s="59" t="str">
        <f aca="false">IF(M17="","",M17/B17)</f>
        <v/>
      </c>
      <c r="O17" s="63" t="str">
        <f aca="false">IF(M17="","",M17-B17)</f>
        <v/>
      </c>
      <c r="Q17" s="24" t="e">
        <f aca="false">IF(I17="",NA(),I17)</f>
        <v>#N/A</v>
      </c>
      <c r="R17" s="24" t="e">
        <f aca="false">IF(N17="",NA(),N17)</f>
        <v>#N/A</v>
      </c>
      <c r="S17" s="24" t="e">
        <f aca="false">IF(J17="",NA(),J17)</f>
        <v>#N/A</v>
      </c>
    </row>
    <row r="18" customFormat="false" ht="18" hidden="false" customHeight="true" outlineLevel="0" collapsed="false">
      <c r="B18" s="54"/>
      <c r="C18" s="55"/>
      <c r="D18" s="56"/>
      <c r="E18" s="56"/>
      <c r="F18" s="57"/>
      <c r="G18" s="57"/>
      <c r="H18" s="58" t="str">
        <f aca="false">IF(E18="","",E18*Settings!$C$15)</f>
        <v/>
      </c>
      <c r="I18" s="59" t="str">
        <f aca="false">IF(OR(H18="",F18="",F18=0),"",H18/F18)</f>
        <v/>
      </c>
      <c r="J18" s="59" t="str">
        <f aca="false">IF(OR(H18="",G18="",G18=0),"",H18/G18)</f>
        <v/>
      </c>
      <c r="K18" s="60" t="str">
        <f aca="false">IF(E18="","",E18-D18)</f>
        <v/>
      </c>
      <c r="L18" s="61" t="str">
        <f aca="false">IF(E18="","",IF(OR(-K18&gt;=Settings!$C$22,I18&lt;Settings!$C$24,J18&lt;Settings!$C$24),"● "&amp;Settings!$C$33,IF(OR(-K18&gt;=Settings!$C$21,I18&lt;Settings!$C$23,J18&lt;Settings!$C$23),"● "&amp;Settings!$C$32,"● "&amp;Settings!$C$31)))</f>
        <v/>
      </c>
      <c r="M18" s="62" t="str">
        <f aca="false">IF(OR(H18="",B18=""),"",IF(COUNTIF($F$6:$F$29,"&lt;="&amp;H18)&gt;=COUNT($F$6:$F$29),COUNT($F$6:$F$29),COUNTIF($F$6:$F$29,"&lt;="&amp;H18)+(H18-IF(COUNTIF($F$6:$F$29,"&lt;="&amp;H18)=0,0,INDEX($F$6:$F$29,COUNTIF($F$6:$F$29,"&lt;="&amp;H18))))/(INDEX($F$6:$F$29,COUNTIF($F$6:$F$29,"&lt;="&amp;H18)+1)-IF(COUNTIF($F$6:$F$29,"&lt;="&amp;H18)=0,0,INDEX($F$6:$F$29,COUNTIF($F$6:$F$29,"&lt;="&amp;H18))))))</f>
        <v/>
      </c>
      <c r="N18" s="59" t="str">
        <f aca="false">IF(M18="","",M18/B18)</f>
        <v/>
      </c>
      <c r="O18" s="63" t="str">
        <f aca="false">IF(M18="","",M18-B18)</f>
        <v/>
      </c>
      <c r="Q18" s="24" t="e">
        <f aca="false">IF(I18="",NA(),I18)</f>
        <v>#N/A</v>
      </c>
      <c r="R18" s="24" t="e">
        <f aca="false">IF(N18="",NA(),N18)</f>
        <v>#N/A</v>
      </c>
      <c r="S18" s="24" t="e">
        <f aca="false">IF(J18="",NA(),J18)</f>
        <v>#N/A</v>
      </c>
    </row>
    <row r="19" customFormat="false" ht="18" hidden="false" customHeight="true" outlineLevel="0" collapsed="false">
      <c r="B19" s="54"/>
      <c r="C19" s="55"/>
      <c r="D19" s="56"/>
      <c r="E19" s="56"/>
      <c r="F19" s="57"/>
      <c r="G19" s="57"/>
      <c r="H19" s="58" t="str">
        <f aca="false">IF(E19="","",E19*Settings!$C$15)</f>
        <v/>
      </c>
      <c r="I19" s="59" t="str">
        <f aca="false">IF(OR(H19="",F19="",F19=0),"",H19/F19)</f>
        <v/>
      </c>
      <c r="J19" s="59" t="str">
        <f aca="false">IF(OR(H19="",G19="",G19=0),"",H19/G19)</f>
        <v/>
      </c>
      <c r="K19" s="60" t="str">
        <f aca="false">IF(E19="","",E19-D19)</f>
        <v/>
      </c>
      <c r="L19" s="61" t="str">
        <f aca="false">IF(E19="","",IF(OR(-K19&gt;=Settings!$C$22,I19&lt;Settings!$C$24,J19&lt;Settings!$C$24),"● "&amp;Settings!$C$33,IF(OR(-K19&gt;=Settings!$C$21,I19&lt;Settings!$C$23,J19&lt;Settings!$C$23),"● "&amp;Settings!$C$32,"● "&amp;Settings!$C$31)))</f>
        <v/>
      </c>
      <c r="M19" s="62" t="str">
        <f aca="false">IF(OR(H19="",B19=""),"",IF(COUNTIF($F$6:$F$29,"&lt;="&amp;H19)&gt;=COUNT($F$6:$F$29),COUNT($F$6:$F$29),COUNTIF($F$6:$F$29,"&lt;="&amp;H19)+(H19-IF(COUNTIF($F$6:$F$29,"&lt;="&amp;H19)=0,0,INDEX($F$6:$F$29,COUNTIF($F$6:$F$29,"&lt;="&amp;H19))))/(INDEX($F$6:$F$29,COUNTIF($F$6:$F$29,"&lt;="&amp;H19)+1)-IF(COUNTIF($F$6:$F$29,"&lt;="&amp;H19)=0,0,INDEX($F$6:$F$29,COUNTIF($F$6:$F$29,"&lt;="&amp;H19))))))</f>
        <v/>
      </c>
      <c r="N19" s="59" t="str">
        <f aca="false">IF(M19="","",M19/B19)</f>
        <v/>
      </c>
      <c r="O19" s="63" t="str">
        <f aca="false">IF(M19="","",M19-B19)</f>
        <v/>
      </c>
      <c r="Q19" s="24" t="e">
        <f aca="false">IF(I19="",NA(),I19)</f>
        <v>#N/A</v>
      </c>
      <c r="R19" s="24" t="e">
        <f aca="false">IF(N19="",NA(),N19)</f>
        <v>#N/A</v>
      </c>
      <c r="S19" s="24" t="e">
        <f aca="false">IF(J19="",NA(),J19)</f>
        <v>#N/A</v>
      </c>
    </row>
    <row r="20" customFormat="false" ht="18" hidden="false" customHeight="true" outlineLevel="0" collapsed="false">
      <c r="B20" s="54"/>
      <c r="C20" s="55"/>
      <c r="D20" s="56"/>
      <c r="E20" s="56"/>
      <c r="F20" s="57"/>
      <c r="G20" s="57"/>
      <c r="H20" s="58" t="str">
        <f aca="false">IF(E20="","",E20*Settings!$C$15)</f>
        <v/>
      </c>
      <c r="I20" s="59" t="str">
        <f aca="false">IF(OR(H20="",F20="",F20=0),"",H20/F20)</f>
        <v/>
      </c>
      <c r="J20" s="59" t="str">
        <f aca="false">IF(OR(H20="",G20="",G20=0),"",H20/G20)</f>
        <v/>
      </c>
      <c r="K20" s="60" t="str">
        <f aca="false">IF(E20="","",E20-D20)</f>
        <v/>
      </c>
      <c r="L20" s="61" t="str">
        <f aca="false">IF(E20="","",IF(OR(-K20&gt;=Settings!$C$22,I20&lt;Settings!$C$24,J20&lt;Settings!$C$24),"● "&amp;Settings!$C$33,IF(OR(-K20&gt;=Settings!$C$21,I20&lt;Settings!$C$23,J20&lt;Settings!$C$23),"● "&amp;Settings!$C$32,"● "&amp;Settings!$C$31)))</f>
        <v/>
      </c>
      <c r="M20" s="62" t="str">
        <f aca="false">IF(OR(H20="",B20=""),"",IF(COUNTIF($F$6:$F$29,"&lt;="&amp;H20)&gt;=COUNT($F$6:$F$29),COUNT($F$6:$F$29),COUNTIF($F$6:$F$29,"&lt;="&amp;H20)+(H20-IF(COUNTIF($F$6:$F$29,"&lt;="&amp;H20)=0,0,INDEX($F$6:$F$29,COUNTIF($F$6:$F$29,"&lt;="&amp;H20))))/(INDEX($F$6:$F$29,COUNTIF($F$6:$F$29,"&lt;="&amp;H20)+1)-IF(COUNTIF($F$6:$F$29,"&lt;="&amp;H20)=0,0,INDEX($F$6:$F$29,COUNTIF($F$6:$F$29,"&lt;="&amp;H20))))))</f>
        <v/>
      </c>
      <c r="N20" s="59" t="str">
        <f aca="false">IF(M20="","",M20/B20)</f>
        <v/>
      </c>
      <c r="O20" s="63" t="str">
        <f aca="false">IF(M20="","",M20-B20)</f>
        <v/>
      </c>
      <c r="Q20" s="24" t="e">
        <f aca="false">IF(I20="",NA(),I20)</f>
        <v>#N/A</v>
      </c>
      <c r="R20" s="24" t="e">
        <f aca="false">IF(N20="",NA(),N20)</f>
        <v>#N/A</v>
      </c>
      <c r="S20" s="24" t="e">
        <f aca="false">IF(J20="",NA(),J20)</f>
        <v>#N/A</v>
      </c>
    </row>
    <row r="21" customFormat="false" ht="18" hidden="false" customHeight="true" outlineLevel="0" collapsed="false">
      <c r="B21" s="54"/>
      <c r="C21" s="55"/>
      <c r="D21" s="56"/>
      <c r="E21" s="56"/>
      <c r="F21" s="57"/>
      <c r="G21" s="57"/>
      <c r="H21" s="58" t="str">
        <f aca="false">IF(E21="","",E21*Settings!$C$15)</f>
        <v/>
      </c>
      <c r="I21" s="59" t="str">
        <f aca="false">IF(OR(H21="",F21="",F21=0),"",H21/F21)</f>
        <v/>
      </c>
      <c r="J21" s="59" t="str">
        <f aca="false">IF(OR(H21="",G21="",G21=0),"",H21/G21)</f>
        <v/>
      </c>
      <c r="K21" s="60" t="str">
        <f aca="false">IF(E21="","",E21-D21)</f>
        <v/>
      </c>
      <c r="L21" s="61" t="str">
        <f aca="false">IF(E21="","",IF(OR(-K21&gt;=Settings!$C$22,I21&lt;Settings!$C$24,J21&lt;Settings!$C$24),"● "&amp;Settings!$C$33,IF(OR(-K21&gt;=Settings!$C$21,I21&lt;Settings!$C$23,J21&lt;Settings!$C$23),"● "&amp;Settings!$C$32,"● "&amp;Settings!$C$31)))</f>
        <v/>
      </c>
      <c r="M21" s="62" t="str">
        <f aca="false">IF(OR(H21="",B21=""),"",IF(COUNTIF($F$6:$F$29,"&lt;="&amp;H21)&gt;=COUNT($F$6:$F$29),COUNT($F$6:$F$29),COUNTIF($F$6:$F$29,"&lt;="&amp;H21)+(H21-IF(COUNTIF($F$6:$F$29,"&lt;="&amp;H21)=0,0,INDEX($F$6:$F$29,COUNTIF($F$6:$F$29,"&lt;="&amp;H21))))/(INDEX($F$6:$F$29,COUNTIF($F$6:$F$29,"&lt;="&amp;H21)+1)-IF(COUNTIF($F$6:$F$29,"&lt;="&amp;H21)=0,0,INDEX($F$6:$F$29,COUNTIF($F$6:$F$29,"&lt;="&amp;H21))))))</f>
        <v/>
      </c>
      <c r="N21" s="59" t="str">
        <f aca="false">IF(M21="","",M21/B21)</f>
        <v/>
      </c>
      <c r="O21" s="63" t="str">
        <f aca="false">IF(M21="","",M21-B21)</f>
        <v/>
      </c>
      <c r="Q21" s="24" t="e">
        <f aca="false">IF(I21="",NA(),I21)</f>
        <v>#N/A</v>
      </c>
      <c r="R21" s="24" t="e">
        <f aca="false">IF(N21="",NA(),N21)</f>
        <v>#N/A</v>
      </c>
      <c r="S21" s="24" t="e">
        <f aca="false">IF(J21="",NA(),J21)</f>
        <v>#N/A</v>
      </c>
    </row>
    <row r="22" customFormat="false" ht="18" hidden="false" customHeight="true" outlineLevel="0" collapsed="false">
      <c r="B22" s="54"/>
      <c r="C22" s="55"/>
      <c r="D22" s="56"/>
      <c r="E22" s="56"/>
      <c r="F22" s="57"/>
      <c r="G22" s="57"/>
      <c r="H22" s="58" t="str">
        <f aca="false">IF(E22="","",E22*Settings!$C$15)</f>
        <v/>
      </c>
      <c r="I22" s="59" t="str">
        <f aca="false">IF(OR(H22="",F22="",F22=0),"",H22/F22)</f>
        <v/>
      </c>
      <c r="J22" s="59" t="str">
        <f aca="false">IF(OR(H22="",G22="",G22=0),"",H22/G22)</f>
        <v/>
      </c>
      <c r="K22" s="60" t="str">
        <f aca="false">IF(E22="","",E22-D22)</f>
        <v/>
      </c>
      <c r="L22" s="61" t="str">
        <f aca="false">IF(E22="","",IF(OR(-K22&gt;=Settings!$C$22,I22&lt;Settings!$C$24,J22&lt;Settings!$C$24),"● "&amp;Settings!$C$33,IF(OR(-K22&gt;=Settings!$C$21,I22&lt;Settings!$C$23,J22&lt;Settings!$C$23),"● "&amp;Settings!$C$32,"● "&amp;Settings!$C$31)))</f>
        <v/>
      </c>
      <c r="M22" s="62" t="str">
        <f aca="false">IF(OR(H22="",B22=""),"",IF(COUNTIF($F$6:$F$29,"&lt;="&amp;H22)&gt;=COUNT($F$6:$F$29),COUNT($F$6:$F$29),COUNTIF($F$6:$F$29,"&lt;="&amp;H22)+(H22-IF(COUNTIF($F$6:$F$29,"&lt;="&amp;H22)=0,0,INDEX($F$6:$F$29,COUNTIF($F$6:$F$29,"&lt;="&amp;H22))))/(INDEX($F$6:$F$29,COUNTIF($F$6:$F$29,"&lt;="&amp;H22)+1)-IF(COUNTIF($F$6:$F$29,"&lt;="&amp;H22)=0,0,INDEX($F$6:$F$29,COUNTIF($F$6:$F$29,"&lt;="&amp;H22))))))</f>
        <v/>
      </c>
      <c r="N22" s="59" t="str">
        <f aca="false">IF(M22="","",M22/B22)</f>
        <v/>
      </c>
      <c r="O22" s="63" t="str">
        <f aca="false">IF(M22="","",M22-B22)</f>
        <v/>
      </c>
      <c r="Q22" s="24" t="e">
        <f aca="false">IF(I22="",NA(),I22)</f>
        <v>#N/A</v>
      </c>
      <c r="R22" s="24" t="e">
        <f aca="false">IF(N22="",NA(),N22)</f>
        <v>#N/A</v>
      </c>
      <c r="S22" s="24" t="e">
        <f aca="false">IF(J22="",NA(),J22)</f>
        <v>#N/A</v>
      </c>
    </row>
    <row r="23" customFormat="false" ht="18" hidden="false" customHeight="true" outlineLevel="0" collapsed="false">
      <c r="B23" s="54"/>
      <c r="C23" s="55"/>
      <c r="D23" s="56"/>
      <c r="E23" s="56"/>
      <c r="F23" s="57"/>
      <c r="G23" s="57"/>
      <c r="H23" s="58" t="str">
        <f aca="false">IF(E23="","",E23*Settings!$C$15)</f>
        <v/>
      </c>
      <c r="I23" s="59" t="str">
        <f aca="false">IF(OR(H23="",F23="",F23=0),"",H23/F23)</f>
        <v/>
      </c>
      <c r="J23" s="59" t="str">
        <f aca="false">IF(OR(H23="",G23="",G23=0),"",H23/G23)</f>
        <v/>
      </c>
      <c r="K23" s="60" t="str">
        <f aca="false">IF(E23="","",E23-D23)</f>
        <v/>
      </c>
      <c r="L23" s="61" t="str">
        <f aca="false">IF(E23="","",IF(OR(-K23&gt;=Settings!$C$22,I23&lt;Settings!$C$24,J23&lt;Settings!$C$24),"● "&amp;Settings!$C$33,IF(OR(-K23&gt;=Settings!$C$21,I23&lt;Settings!$C$23,J23&lt;Settings!$C$23),"● "&amp;Settings!$C$32,"● "&amp;Settings!$C$31)))</f>
        <v/>
      </c>
      <c r="M23" s="62" t="str">
        <f aca="false">IF(OR(H23="",B23=""),"",IF(COUNTIF($F$6:$F$29,"&lt;="&amp;H23)&gt;=COUNT($F$6:$F$29),COUNT($F$6:$F$29),COUNTIF($F$6:$F$29,"&lt;="&amp;H23)+(H23-IF(COUNTIF($F$6:$F$29,"&lt;="&amp;H23)=0,0,INDEX($F$6:$F$29,COUNTIF($F$6:$F$29,"&lt;="&amp;H23))))/(INDEX($F$6:$F$29,COUNTIF($F$6:$F$29,"&lt;="&amp;H23)+1)-IF(COUNTIF($F$6:$F$29,"&lt;="&amp;H23)=0,0,INDEX($F$6:$F$29,COUNTIF($F$6:$F$29,"&lt;="&amp;H23))))))</f>
        <v/>
      </c>
      <c r="N23" s="59" t="str">
        <f aca="false">IF(M23="","",M23/B23)</f>
        <v/>
      </c>
      <c r="O23" s="63" t="str">
        <f aca="false">IF(M23="","",M23-B23)</f>
        <v/>
      </c>
      <c r="Q23" s="24" t="e">
        <f aca="false">IF(I23="",NA(),I23)</f>
        <v>#N/A</v>
      </c>
      <c r="R23" s="24" t="e">
        <f aca="false">IF(N23="",NA(),N23)</f>
        <v>#N/A</v>
      </c>
      <c r="S23" s="24" t="e">
        <f aca="false">IF(J23="",NA(),J23)</f>
        <v>#N/A</v>
      </c>
    </row>
    <row r="24" customFormat="false" ht="18" hidden="false" customHeight="true" outlineLevel="0" collapsed="false">
      <c r="B24" s="54"/>
      <c r="C24" s="55"/>
      <c r="D24" s="56"/>
      <c r="E24" s="56"/>
      <c r="F24" s="57"/>
      <c r="G24" s="57"/>
      <c r="H24" s="58" t="str">
        <f aca="false">IF(E24="","",E24*Settings!$C$15)</f>
        <v/>
      </c>
      <c r="I24" s="59" t="str">
        <f aca="false">IF(OR(H24="",F24="",F24=0),"",H24/F24)</f>
        <v/>
      </c>
      <c r="J24" s="59" t="str">
        <f aca="false">IF(OR(H24="",G24="",G24=0),"",H24/G24)</f>
        <v/>
      </c>
      <c r="K24" s="60" t="str">
        <f aca="false">IF(E24="","",E24-D24)</f>
        <v/>
      </c>
      <c r="L24" s="61" t="str">
        <f aca="false">IF(E24="","",IF(OR(-K24&gt;=Settings!$C$22,I24&lt;Settings!$C$24,J24&lt;Settings!$C$24),"● "&amp;Settings!$C$33,IF(OR(-K24&gt;=Settings!$C$21,I24&lt;Settings!$C$23,J24&lt;Settings!$C$23),"● "&amp;Settings!$C$32,"● "&amp;Settings!$C$31)))</f>
        <v/>
      </c>
      <c r="M24" s="62" t="str">
        <f aca="false">IF(OR(H24="",B24=""),"",IF(COUNTIF($F$6:$F$29,"&lt;="&amp;H24)&gt;=COUNT($F$6:$F$29),COUNT($F$6:$F$29),COUNTIF($F$6:$F$29,"&lt;="&amp;H24)+(H24-IF(COUNTIF($F$6:$F$29,"&lt;="&amp;H24)=0,0,INDEX($F$6:$F$29,COUNTIF($F$6:$F$29,"&lt;="&amp;H24))))/(INDEX($F$6:$F$29,COUNTIF($F$6:$F$29,"&lt;="&amp;H24)+1)-IF(COUNTIF($F$6:$F$29,"&lt;="&amp;H24)=0,0,INDEX($F$6:$F$29,COUNTIF($F$6:$F$29,"&lt;="&amp;H24))))))</f>
        <v/>
      </c>
      <c r="N24" s="59" t="str">
        <f aca="false">IF(M24="","",M24/B24)</f>
        <v/>
      </c>
      <c r="O24" s="63" t="str">
        <f aca="false">IF(M24="","",M24-B24)</f>
        <v/>
      </c>
      <c r="Q24" s="24" t="e">
        <f aca="false">IF(I24="",NA(),I24)</f>
        <v>#N/A</v>
      </c>
      <c r="R24" s="24" t="e">
        <f aca="false">IF(N24="",NA(),N24)</f>
        <v>#N/A</v>
      </c>
      <c r="S24" s="24" t="e">
        <f aca="false">IF(J24="",NA(),J24)</f>
        <v>#N/A</v>
      </c>
    </row>
    <row r="25" customFormat="false" ht="18" hidden="false" customHeight="true" outlineLevel="0" collapsed="false">
      <c r="B25" s="54"/>
      <c r="C25" s="55"/>
      <c r="D25" s="56"/>
      <c r="E25" s="56"/>
      <c r="F25" s="57"/>
      <c r="G25" s="57"/>
      <c r="H25" s="58" t="str">
        <f aca="false">IF(E25="","",E25*Settings!$C$15)</f>
        <v/>
      </c>
      <c r="I25" s="59" t="str">
        <f aca="false">IF(OR(H25="",F25="",F25=0),"",H25/F25)</f>
        <v/>
      </c>
      <c r="J25" s="59" t="str">
        <f aca="false">IF(OR(H25="",G25="",G25=0),"",H25/G25)</f>
        <v/>
      </c>
      <c r="K25" s="60" t="str">
        <f aca="false">IF(E25="","",E25-D25)</f>
        <v/>
      </c>
      <c r="L25" s="61" t="str">
        <f aca="false">IF(E25="","",IF(OR(-K25&gt;=Settings!$C$22,I25&lt;Settings!$C$24,J25&lt;Settings!$C$24),"● "&amp;Settings!$C$33,IF(OR(-K25&gt;=Settings!$C$21,I25&lt;Settings!$C$23,J25&lt;Settings!$C$23),"● "&amp;Settings!$C$32,"● "&amp;Settings!$C$31)))</f>
        <v/>
      </c>
      <c r="M25" s="62" t="str">
        <f aca="false">IF(OR(H25="",B25=""),"",IF(COUNTIF($F$6:$F$29,"&lt;="&amp;H25)&gt;=COUNT($F$6:$F$29),COUNT($F$6:$F$29),COUNTIF($F$6:$F$29,"&lt;="&amp;H25)+(H25-IF(COUNTIF($F$6:$F$29,"&lt;="&amp;H25)=0,0,INDEX($F$6:$F$29,COUNTIF($F$6:$F$29,"&lt;="&amp;H25))))/(INDEX($F$6:$F$29,COUNTIF($F$6:$F$29,"&lt;="&amp;H25)+1)-IF(COUNTIF($F$6:$F$29,"&lt;="&amp;H25)=0,0,INDEX($F$6:$F$29,COUNTIF($F$6:$F$29,"&lt;="&amp;H25))))))</f>
        <v/>
      </c>
      <c r="N25" s="59" t="str">
        <f aca="false">IF(M25="","",M25/B25)</f>
        <v/>
      </c>
      <c r="O25" s="63" t="str">
        <f aca="false">IF(M25="","",M25-B25)</f>
        <v/>
      </c>
      <c r="Q25" s="24" t="e">
        <f aca="false">IF(I25="",NA(),I25)</f>
        <v>#N/A</v>
      </c>
      <c r="R25" s="24" t="e">
        <f aca="false">IF(N25="",NA(),N25)</f>
        <v>#N/A</v>
      </c>
      <c r="S25" s="24" t="e">
        <f aca="false">IF(J25="",NA(),J25)</f>
        <v>#N/A</v>
      </c>
    </row>
    <row r="26" customFormat="false" ht="18" hidden="false" customHeight="true" outlineLevel="0" collapsed="false">
      <c r="B26" s="54"/>
      <c r="C26" s="55"/>
      <c r="D26" s="56"/>
      <c r="E26" s="56"/>
      <c r="F26" s="57"/>
      <c r="G26" s="57"/>
      <c r="H26" s="58" t="str">
        <f aca="false">IF(E26="","",E26*Settings!$C$15)</f>
        <v/>
      </c>
      <c r="I26" s="59" t="str">
        <f aca="false">IF(OR(H26="",F26="",F26=0),"",H26/F26)</f>
        <v/>
      </c>
      <c r="J26" s="59" t="str">
        <f aca="false">IF(OR(H26="",G26="",G26=0),"",H26/G26)</f>
        <v/>
      </c>
      <c r="K26" s="60" t="str">
        <f aca="false">IF(E26="","",E26-D26)</f>
        <v/>
      </c>
      <c r="L26" s="61" t="str">
        <f aca="false">IF(E26="","",IF(OR(-K26&gt;=Settings!$C$22,I26&lt;Settings!$C$24,J26&lt;Settings!$C$24),"● "&amp;Settings!$C$33,IF(OR(-K26&gt;=Settings!$C$21,I26&lt;Settings!$C$23,J26&lt;Settings!$C$23),"● "&amp;Settings!$C$32,"● "&amp;Settings!$C$31)))</f>
        <v/>
      </c>
      <c r="M26" s="62" t="str">
        <f aca="false">IF(OR(H26="",B26=""),"",IF(COUNTIF($F$6:$F$29,"&lt;="&amp;H26)&gt;=COUNT($F$6:$F$29),COUNT($F$6:$F$29),COUNTIF($F$6:$F$29,"&lt;="&amp;H26)+(H26-IF(COUNTIF($F$6:$F$29,"&lt;="&amp;H26)=0,0,INDEX($F$6:$F$29,COUNTIF($F$6:$F$29,"&lt;="&amp;H26))))/(INDEX($F$6:$F$29,COUNTIF($F$6:$F$29,"&lt;="&amp;H26)+1)-IF(COUNTIF($F$6:$F$29,"&lt;="&amp;H26)=0,0,INDEX($F$6:$F$29,COUNTIF($F$6:$F$29,"&lt;="&amp;H26))))))</f>
        <v/>
      </c>
      <c r="N26" s="59" t="str">
        <f aca="false">IF(M26="","",M26/B26)</f>
        <v/>
      </c>
      <c r="O26" s="63" t="str">
        <f aca="false">IF(M26="","",M26-B26)</f>
        <v/>
      </c>
      <c r="Q26" s="24" t="e">
        <f aca="false">IF(I26="",NA(),I26)</f>
        <v>#N/A</v>
      </c>
      <c r="R26" s="24" t="e">
        <f aca="false">IF(N26="",NA(),N26)</f>
        <v>#N/A</v>
      </c>
      <c r="S26" s="24" t="e">
        <f aca="false">IF(J26="",NA(),J26)</f>
        <v>#N/A</v>
      </c>
    </row>
    <row r="27" customFormat="false" ht="18" hidden="false" customHeight="true" outlineLevel="0" collapsed="false">
      <c r="B27" s="54"/>
      <c r="C27" s="55"/>
      <c r="D27" s="56"/>
      <c r="E27" s="56"/>
      <c r="F27" s="57"/>
      <c r="G27" s="57"/>
      <c r="H27" s="58" t="str">
        <f aca="false">IF(E27="","",E27*Settings!$C$15)</f>
        <v/>
      </c>
      <c r="I27" s="59" t="str">
        <f aca="false">IF(OR(H27="",F27="",F27=0),"",H27/F27)</f>
        <v/>
      </c>
      <c r="J27" s="59" t="str">
        <f aca="false">IF(OR(H27="",G27="",G27=0),"",H27/G27)</f>
        <v/>
      </c>
      <c r="K27" s="60" t="str">
        <f aca="false">IF(E27="","",E27-D27)</f>
        <v/>
      </c>
      <c r="L27" s="61" t="str">
        <f aca="false">IF(E27="","",IF(OR(-K27&gt;=Settings!$C$22,I27&lt;Settings!$C$24,J27&lt;Settings!$C$24),"● "&amp;Settings!$C$33,IF(OR(-K27&gt;=Settings!$C$21,I27&lt;Settings!$C$23,J27&lt;Settings!$C$23),"● "&amp;Settings!$C$32,"● "&amp;Settings!$C$31)))</f>
        <v/>
      </c>
      <c r="M27" s="62" t="str">
        <f aca="false">IF(OR(H27="",B27=""),"",IF(COUNTIF($F$6:$F$29,"&lt;="&amp;H27)&gt;=COUNT($F$6:$F$29),COUNT($F$6:$F$29),COUNTIF($F$6:$F$29,"&lt;="&amp;H27)+(H27-IF(COUNTIF($F$6:$F$29,"&lt;="&amp;H27)=0,0,INDEX($F$6:$F$29,COUNTIF($F$6:$F$29,"&lt;="&amp;H27))))/(INDEX($F$6:$F$29,COUNTIF($F$6:$F$29,"&lt;="&amp;H27)+1)-IF(COUNTIF($F$6:$F$29,"&lt;="&amp;H27)=0,0,INDEX($F$6:$F$29,COUNTIF($F$6:$F$29,"&lt;="&amp;H27))))))</f>
        <v/>
      </c>
      <c r="N27" s="59" t="str">
        <f aca="false">IF(M27="","",M27/B27)</f>
        <v/>
      </c>
      <c r="O27" s="63" t="str">
        <f aca="false">IF(M27="","",M27-B27)</f>
        <v/>
      </c>
      <c r="Q27" s="24" t="e">
        <f aca="false">IF(I27="",NA(),I27)</f>
        <v>#N/A</v>
      </c>
      <c r="R27" s="24" t="e">
        <f aca="false">IF(N27="",NA(),N27)</f>
        <v>#N/A</v>
      </c>
      <c r="S27" s="24" t="e">
        <f aca="false">IF(J27="",NA(),J27)</f>
        <v>#N/A</v>
      </c>
    </row>
    <row r="28" customFormat="false" ht="18" hidden="false" customHeight="true" outlineLevel="0" collapsed="false">
      <c r="B28" s="54"/>
      <c r="C28" s="55"/>
      <c r="D28" s="56"/>
      <c r="E28" s="56"/>
      <c r="F28" s="57"/>
      <c r="G28" s="57"/>
      <c r="H28" s="58" t="str">
        <f aca="false">IF(E28="","",E28*Settings!$C$15)</f>
        <v/>
      </c>
      <c r="I28" s="59" t="str">
        <f aca="false">IF(OR(H28="",F28="",F28=0),"",H28/F28)</f>
        <v/>
      </c>
      <c r="J28" s="59" t="str">
        <f aca="false">IF(OR(H28="",G28="",G28=0),"",H28/G28)</f>
        <v/>
      </c>
      <c r="K28" s="60" t="str">
        <f aca="false">IF(E28="","",E28-D28)</f>
        <v/>
      </c>
      <c r="L28" s="61" t="str">
        <f aca="false">IF(E28="","",IF(OR(-K28&gt;=Settings!$C$22,I28&lt;Settings!$C$24,J28&lt;Settings!$C$24),"● "&amp;Settings!$C$33,IF(OR(-K28&gt;=Settings!$C$21,I28&lt;Settings!$C$23,J28&lt;Settings!$C$23),"● "&amp;Settings!$C$32,"● "&amp;Settings!$C$31)))</f>
        <v/>
      </c>
      <c r="M28" s="62" t="str">
        <f aca="false">IF(OR(H28="",B28=""),"",IF(COUNTIF($F$6:$F$29,"&lt;="&amp;H28)&gt;=COUNT($F$6:$F$29),COUNT($F$6:$F$29),COUNTIF($F$6:$F$29,"&lt;="&amp;H28)+(H28-IF(COUNTIF($F$6:$F$29,"&lt;="&amp;H28)=0,0,INDEX($F$6:$F$29,COUNTIF($F$6:$F$29,"&lt;="&amp;H28))))/(INDEX($F$6:$F$29,COUNTIF($F$6:$F$29,"&lt;="&amp;H28)+1)-IF(COUNTIF($F$6:$F$29,"&lt;="&amp;H28)=0,0,INDEX($F$6:$F$29,COUNTIF($F$6:$F$29,"&lt;="&amp;H28))))))</f>
        <v/>
      </c>
      <c r="N28" s="59" t="str">
        <f aca="false">IF(M28="","",M28/B28)</f>
        <v/>
      </c>
      <c r="O28" s="63" t="str">
        <f aca="false">IF(M28="","",M28-B28)</f>
        <v/>
      </c>
      <c r="Q28" s="24" t="e">
        <f aca="false">IF(I28="",NA(),I28)</f>
        <v>#N/A</v>
      </c>
      <c r="R28" s="24" t="e">
        <f aca="false">IF(N28="",NA(),N28)</f>
        <v>#N/A</v>
      </c>
      <c r="S28" s="24" t="e">
        <f aca="false">IF(J28="",NA(),J28)</f>
        <v>#N/A</v>
      </c>
    </row>
    <row r="29" customFormat="false" ht="18" hidden="false" customHeight="true" outlineLevel="0" collapsed="false">
      <c r="B29" s="54"/>
      <c r="C29" s="55"/>
      <c r="D29" s="56"/>
      <c r="E29" s="56"/>
      <c r="F29" s="57"/>
      <c r="G29" s="57"/>
      <c r="H29" s="58" t="str">
        <f aca="false">IF(E29="","",E29*Settings!$C$15)</f>
        <v/>
      </c>
      <c r="I29" s="59" t="str">
        <f aca="false">IF(OR(H29="",F29="",F29=0),"",H29/F29)</f>
        <v/>
      </c>
      <c r="J29" s="59" t="str">
        <f aca="false">IF(OR(H29="",G29="",G29=0),"",H29/G29)</f>
        <v/>
      </c>
      <c r="K29" s="60" t="str">
        <f aca="false">IF(E29="","",E29-D29)</f>
        <v/>
      </c>
      <c r="L29" s="61" t="str">
        <f aca="false">IF(E29="","",IF(OR(-K29&gt;=Settings!$C$22,I29&lt;Settings!$C$24,J29&lt;Settings!$C$24),"● "&amp;Settings!$C$33,IF(OR(-K29&gt;=Settings!$C$21,I29&lt;Settings!$C$23,J29&lt;Settings!$C$23),"● "&amp;Settings!$C$32,"● "&amp;Settings!$C$31)))</f>
        <v/>
      </c>
      <c r="M29" s="62" t="str">
        <f aca="false">IF(OR(H29="",B29=""),"",IF(COUNTIF($F$6:$F$29,"&lt;="&amp;H29)&gt;=COUNT($F$6:$F$29),COUNT($F$6:$F$29),COUNTIF($F$6:$F$29,"&lt;="&amp;H29)+(H29-IF(COUNTIF($F$6:$F$29,"&lt;="&amp;H29)=0,0,INDEX($F$6:$F$29,COUNTIF($F$6:$F$29,"&lt;="&amp;H29))))/(INDEX($F$6:$F$29,COUNTIF($F$6:$F$29,"&lt;="&amp;H29)+1)-IF(COUNTIF($F$6:$F$29,"&lt;="&amp;H29)=0,0,INDEX($F$6:$F$29,COUNTIF($F$6:$F$29,"&lt;="&amp;H29))))))</f>
        <v/>
      </c>
      <c r="N29" s="59" t="str">
        <f aca="false">IF(M29="","",M29/B29)</f>
        <v/>
      </c>
      <c r="O29" s="63" t="str">
        <f aca="false">IF(M29="","",M29-B29)</f>
        <v/>
      </c>
      <c r="Q29" s="24" t="e">
        <f aca="false">IF(I29="",NA(),I29)</f>
        <v>#N/A</v>
      </c>
      <c r="R29" s="24" t="e">
        <f aca="false">IF(N29="",NA(),N29)</f>
        <v>#N/A</v>
      </c>
      <c r="S29" s="24" t="e">
        <f aca="false">IF(J29="",NA(),J29)</f>
        <v>#N/A</v>
      </c>
    </row>
    <row r="31" customFormat="false" ht="15" hidden="false" customHeight="false" outlineLevel="0" collapsed="false">
      <c r="B31" s="65" t="s">
        <v>199</v>
      </c>
    </row>
    <row r="32" customFormat="false" ht="15" hidden="false" customHeight="false" outlineLevel="0" collapsed="false">
      <c r="B32" s="35" t="s">
        <v>46</v>
      </c>
    </row>
  </sheetData>
  <conditionalFormatting sqref="K6:K29">
    <cfRule type="expression" priority="2" aboveAverage="0" equalAverage="0" bottom="0" percent="0" rank="0" text="" dxfId="2">
      <formula>AND(ISNUMBER(K6),-K6&gt;=Settings!$C$22)</formula>
    </cfRule>
    <cfRule type="expression" priority="3" aboveAverage="0" equalAverage="0" bottom="0" percent="0" rank="0" text="" dxfId="1">
      <formula>AND(ISNUMBER(K6),-K6&gt;=Settings!$C$21)</formula>
    </cfRule>
  </conditionalFormatting>
  <conditionalFormatting sqref="I6:I29">
    <cfRule type="cellIs" priority="4" operator="lessThan" aboveAverage="0" equalAverage="0" bottom="0" percent="0" rank="0" text="" dxfId="13">
      <formula>Settings!$C$24</formula>
    </cfRule>
    <cfRule type="cellIs" priority="5" operator="between" aboveAverage="0" equalAverage="0" bottom="0" percent="0" rank="0" text="" dxfId="14">
      <formula>Settings!$C$24</formula>
      <formula>Settings!$C$23</formula>
    </cfRule>
  </conditionalFormatting>
  <conditionalFormatting sqref="J6:J29">
    <cfRule type="cellIs" priority="6" operator="lessThan" aboveAverage="0" equalAverage="0" bottom="0" percent="0" rank="0" text="" dxfId="13">
      <formula>Settings!$C$24</formula>
    </cfRule>
    <cfRule type="cellIs" priority="7" operator="between" aboveAverage="0" equalAverage="0" bottom="0" percent="0" rank="0" text="" dxfId="14">
      <formula>Settings!$C$24</formula>
      <formula>Settings!$C$23</formula>
    </cfRule>
  </conditionalFormatting>
  <conditionalFormatting sqref="N6:N29">
    <cfRule type="cellIs" priority="8" operator="lessThan" aboveAverage="0" equalAverage="0" bottom="0" percent="0" rank="0" text="" dxfId="13">
      <formula>Settings!$C$24</formula>
    </cfRule>
    <cfRule type="cellIs" priority="9" operator="between" aboveAverage="0" equalAverage="0" bottom="0" percent="0" rank="0" text="" dxfId="14">
      <formula>Settings!$C$24</formula>
      <formula>Settings!$C$23</formula>
    </cfRule>
  </conditionalFormatting>
  <conditionalFormatting sqref="L6:L29">
    <cfRule type="expression" priority="10" aboveAverage="0" equalAverage="0" bottom="0" percent="0" rank="0" text="" dxfId="0">
      <formula>ISNUMBER(SEARCH(Settings!$C$31,L6))</formula>
    </cfRule>
    <cfRule type="expression" priority="11" aboveAverage="0" equalAverage="0" bottom="0" percent="0" rank="0" text="" dxfId="1">
      <formula>ISNUMBER(SEARCH(Settings!$C$32,L6))</formula>
    </cfRule>
    <cfRule type="expression" priority="12" aboveAverage="0" equalAverage="0" bottom="0" percent="0" rank="0" text="" dxfId="2">
      <formula>ISNUMBER(SEARCH(Settings!$C$33,L6))</formula>
    </cfRule>
  </conditionalFormatting>
  <conditionalFormatting sqref="O6:O29">
    <cfRule type="expression" priority="13" aboveAverage="0" equalAverage="0" bottom="0" percent="0" rank="0" text="" dxfId="13">
      <formula>AND(ISNUMBER(O6),O6&lt;=-1)</formula>
    </cfRule>
  </conditionalFormatting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&amp;C&amp;"Arial,Italic"&amp;8© Carlos Alberto Ruiz Brito · 14/10/2026 · Delivery con Charly Brito · carlosruizbrito.com · CC BY 4.0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5" min="15" style="1" width="2"/>
  </cols>
  <sheetData>
    <row r="1" customFormat="false" ht="30" hidden="false" customHeight="true" outlineLevel="0" collapsed="false">
      <c r="A1" s="2"/>
      <c r="B1" s="36" t="s">
        <v>200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8" hidden="false" customHeight="true" outlineLevel="0" collapsed="false">
      <c r="A2" s="2"/>
      <c r="B2" s="37" t="s">
        <v>201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36" hidden="false" customHeight="true" outlineLevel="0" collapsed="false">
      <c r="B5" s="40" t="s">
        <v>31</v>
      </c>
      <c r="C5" s="40" t="s">
        <v>202</v>
      </c>
      <c r="D5" s="40" t="s">
        <v>33</v>
      </c>
      <c r="E5" s="40" t="s">
        <v>203</v>
      </c>
      <c r="F5" s="40" t="s">
        <v>204</v>
      </c>
      <c r="G5" s="40" t="s">
        <v>24</v>
      </c>
      <c r="H5" s="40" t="s">
        <v>205</v>
      </c>
      <c r="I5" s="40" t="s">
        <v>206</v>
      </c>
      <c r="J5" s="40" t="s">
        <v>207</v>
      </c>
      <c r="K5" s="40" t="s">
        <v>208</v>
      </c>
      <c r="L5" s="40" t="s">
        <v>209</v>
      </c>
      <c r="M5" s="40" t="s">
        <v>210</v>
      </c>
      <c r="N5" s="40" t="s">
        <v>211</v>
      </c>
    </row>
    <row r="6" customFormat="false" ht="18" hidden="false" customHeight="true" outlineLevel="0" collapsed="false">
      <c r="B6" s="66" t="s">
        <v>212</v>
      </c>
      <c r="C6" s="66" t="s">
        <v>213</v>
      </c>
      <c r="D6" s="66" t="s">
        <v>214</v>
      </c>
      <c r="E6" s="55" t="n">
        <v>46269</v>
      </c>
      <c r="F6" s="55" t="n">
        <v>46268</v>
      </c>
      <c r="G6" s="67" t="s">
        <v>168</v>
      </c>
      <c r="H6" s="55" t="n">
        <v>46273</v>
      </c>
      <c r="I6" s="68" t="str">
        <f aca="false">IF(OR(F6="",G6=Settings!$C$39,G6=Settings!$C$36),"",INDEX('Weekly Tracking'!$C$6:$C$29,COUNT('Weekly Tracking'!$E$6:$E$29))-F6)</f>
        <v/>
      </c>
      <c r="J6" s="69" t="n">
        <f aca="false">IF(OR(E6="",F6=""),"",MAX(0,F6-E6))</f>
        <v>0</v>
      </c>
      <c r="K6" s="66" t="s">
        <v>215</v>
      </c>
      <c r="L6" s="56" t="n">
        <v>0.05</v>
      </c>
      <c r="M6" s="56" t="n">
        <v>1</v>
      </c>
      <c r="N6" s="70" t="n">
        <f aca="false">IF(L6="","",L6*IF(G6=Settings!$C$39,1,IF(Settings!$C$19="0/100",0,IF(Settings!$C$19="50/50",IF(OR(M6&gt;0,AND(G6&lt;&gt;"",G6&lt;&gt;Settings!$C$36)),0.5,0),MIN(1,M6)))))</f>
        <v>0.05</v>
      </c>
    </row>
    <row r="7" customFormat="false" ht="18" hidden="false" customHeight="true" outlineLevel="0" collapsed="false">
      <c r="B7" s="66" t="s">
        <v>216</v>
      </c>
      <c r="C7" s="66" t="s">
        <v>217</v>
      </c>
      <c r="D7" s="66" t="s">
        <v>218</v>
      </c>
      <c r="E7" s="55" t="n">
        <v>46269</v>
      </c>
      <c r="F7" s="55" t="n">
        <v>46269</v>
      </c>
      <c r="G7" s="67" t="s">
        <v>168</v>
      </c>
      <c r="H7" s="55" t="n">
        <v>46272</v>
      </c>
      <c r="I7" s="68" t="str">
        <f aca="false">IF(OR(F7="",G7=Settings!$C$39,G7=Settings!$C$36),"",INDEX('Weekly Tracking'!$C$6:$C$29,COUNT('Weekly Tracking'!$E$6:$E$29))-F7)</f>
        <v/>
      </c>
      <c r="J7" s="69" t="n">
        <f aca="false">IF(OR(E7="",F7=""),"",MAX(0,F7-E7))</f>
        <v>0</v>
      </c>
      <c r="K7" s="66"/>
      <c r="L7" s="56" t="n">
        <v>0.05</v>
      </c>
      <c r="M7" s="56" t="n">
        <v>1</v>
      </c>
      <c r="N7" s="70" t="n">
        <f aca="false">IF(L7="","",L7*IF(G7=Settings!$C$39,1,IF(Settings!$C$19="0/100",0,IF(Settings!$C$19="50/50",IF(OR(M7&gt;0,AND(G7&lt;&gt;"",G7&lt;&gt;Settings!$C$36)),0.5,0),MIN(1,M7)))))</f>
        <v>0.05</v>
      </c>
    </row>
    <row r="8" customFormat="false" ht="18" hidden="false" customHeight="true" outlineLevel="0" collapsed="false">
      <c r="B8" s="66" t="s">
        <v>219</v>
      </c>
      <c r="C8" s="66" t="s">
        <v>220</v>
      </c>
      <c r="D8" s="66" t="s">
        <v>221</v>
      </c>
      <c r="E8" s="55" t="n">
        <v>46276</v>
      </c>
      <c r="F8" s="55" t="n">
        <v>46279</v>
      </c>
      <c r="G8" s="67" t="s">
        <v>168</v>
      </c>
      <c r="H8" s="55" t="n">
        <v>46283</v>
      </c>
      <c r="I8" s="68" t="str">
        <f aca="false">IF(OR(F8="",G8=Settings!$C$39,G8=Settings!$C$36),"",INDEX('Weekly Tracking'!$C$6:$C$29,COUNT('Weekly Tracking'!$E$6:$E$29))-F8)</f>
        <v/>
      </c>
      <c r="J8" s="69" t="n">
        <f aca="false">IF(OR(E8="",F8=""),"",MAX(0,F8-E8))</f>
        <v>3</v>
      </c>
      <c r="K8" s="66" t="s">
        <v>222</v>
      </c>
      <c r="L8" s="56" t="n">
        <v>0.1</v>
      </c>
      <c r="M8" s="56" t="n">
        <v>1</v>
      </c>
      <c r="N8" s="70" t="n">
        <f aca="false">IF(L8="","",L8*IF(G8=Settings!$C$39,1,IF(Settings!$C$19="0/100",0,IF(Settings!$C$19="50/50",IF(OR(M8&gt;0,AND(G8&lt;&gt;"",G8&lt;&gt;Settings!$C$36)),0.5,0),MIN(1,M8)))))</f>
        <v>0.1</v>
      </c>
    </row>
    <row r="9" customFormat="false" ht="18" hidden="false" customHeight="true" outlineLevel="0" collapsed="false">
      <c r="B9" s="66" t="s">
        <v>223</v>
      </c>
      <c r="C9" s="66" t="s">
        <v>224</v>
      </c>
      <c r="D9" s="66" t="s">
        <v>221</v>
      </c>
      <c r="E9" s="55" t="n">
        <v>46290</v>
      </c>
      <c r="F9" s="55" t="n">
        <v>46290</v>
      </c>
      <c r="G9" s="67" t="s">
        <v>166</v>
      </c>
      <c r="H9" s="55"/>
      <c r="I9" s="68" t="n">
        <f aca="false">IF(OR(F9="",G9=Settings!$C$39,G9=Settings!$C$36),"",INDEX('Weekly Tracking'!$C$6:$C$29,COUNT('Weekly Tracking'!$E$6:$E$29))-F9)</f>
        <v>7</v>
      </c>
      <c r="J9" s="69" t="n">
        <f aca="false">IF(OR(E9="",F9=""),"",MAX(0,F9-E9))</f>
        <v>0</v>
      </c>
      <c r="K9" s="66" t="s">
        <v>225</v>
      </c>
      <c r="L9" s="56" t="n">
        <v>0.1</v>
      </c>
      <c r="M9" s="56" t="n">
        <v>1</v>
      </c>
      <c r="N9" s="70" t="n">
        <f aca="false">IF(L9="","",L9*IF(G9=Settings!$C$39,1,IF(Settings!$C$19="0/100",0,IF(Settings!$C$19="50/50",IF(OR(M9&gt;0,AND(G9&lt;&gt;"",G9&lt;&gt;Settings!$C$36)),0.5,0),MIN(1,M9)))))</f>
        <v>0.05</v>
      </c>
    </row>
    <row r="10" customFormat="false" ht="18" hidden="false" customHeight="true" outlineLevel="0" collapsed="false">
      <c r="B10" s="66" t="s">
        <v>226</v>
      </c>
      <c r="C10" s="66" t="s">
        <v>227</v>
      </c>
      <c r="D10" s="66" t="s">
        <v>228</v>
      </c>
      <c r="E10" s="55" t="n">
        <v>46276</v>
      </c>
      <c r="F10" s="55" t="n">
        <v>46276</v>
      </c>
      <c r="G10" s="67" t="s">
        <v>164</v>
      </c>
      <c r="H10" s="55"/>
      <c r="I10" s="68" t="n">
        <f aca="false">IF(OR(F10="",G10=Settings!$C$39,G10=Settings!$C$36),"",INDEX('Weekly Tracking'!$C$6:$C$29,COUNT('Weekly Tracking'!$E$6:$E$29))-F10)</f>
        <v>21</v>
      </c>
      <c r="J10" s="69" t="n">
        <f aca="false">IF(OR(E10="",F10=""),"",MAX(0,F10-E10))</f>
        <v>0</v>
      </c>
      <c r="K10" s="66" t="s">
        <v>229</v>
      </c>
      <c r="L10" s="56" t="n">
        <v>0.1</v>
      </c>
      <c r="M10" s="56" t="n">
        <v>1</v>
      </c>
      <c r="N10" s="70" t="n">
        <f aca="false">IF(L10="","",L10*IF(G10=Settings!$C$39,1,IF(Settings!$C$19="0/100",0,IF(Settings!$C$19="50/50",IF(OR(M10&gt;0,AND(G10&lt;&gt;"",G10&lt;&gt;Settings!$C$36)),0.5,0),MIN(1,M10)))))</f>
        <v>0.05</v>
      </c>
    </row>
    <row r="11" customFormat="false" ht="18" hidden="false" customHeight="true" outlineLevel="0" collapsed="false">
      <c r="B11" s="66" t="s">
        <v>230</v>
      </c>
      <c r="C11" s="66" t="s">
        <v>231</v>
      </c>
      <c r="D11" s="66" t="s">
        <v>228</v>
      </c>
      <c r="E11" s="55" t="n">
        <v>46311</v>
      </c>
      <c r="F11" s="55"/>
      <c r="G11" s="67" t="s">
        <v>161</v>
      </c>
      <c r="H11" s="55"/>
      <c r="I11" s="68" t="str">
        <f aca="false">IF(OR(F11="",G11=Settings!$C$39,G11=Settings!$C$36),"",INDEX('Weekly Tracking'!$C$6:$C$29,COUNT('Weekly Tracking'!$E$6:$E$29))-F11)</f>
        <v/>
      </c>
      <c r="J11" s="69" t="str">
        <f aca="false">IF(OR(E11="",F11=""),"",MAX(0,F11-E11))</f>
        <v/>
      </c>
      <c r="K11" s="66"/>
      <c r="L11" s="56" t="n">
        <v>0.2</v>
      </c>
      <c r="M11" s="56" t="n">
        <v>0.1</v>
      </c>
      <c r="N11" s="70" t="n">
        <f aca="false">IF(L11="","",L11*IF(G11=Settings!$C$39,1,IF(Settings!$C$19="0/100",0,IF(Settings!$C$19="50/50",IF(OR(M11&gt;0,AND(G11&lt;&gt;"",G11&lt;&gt;Settings!$C$36)),0.5,0),MIN(1,M11)))))</f>
        <v>0.1</v>
      </c>
    </row>
    <row r="12" customFormat="false" ht="18" hidden="false" customHeight="true" outlineLevel="0" collapsed="false">
      <c r="B12" s="66" t="s">
        <v>232</v>
      </c>
      <c r="C12" s="66" t="s">
        <v>233</v>
      </c>
      <c r="D12" s="66" t="s">
        <v>221</v>
      </c>
      <c r="E12" s="55" t="n">
        <v>46318</v>
      </c>
      <c r="F12" s="55"/>
      <c r="G12" s="67" t="s">
        <v>161</v>
      </c>
      <c r="H12" s="55"/>
      <c r="I12" s="68" t="str">
        <f aca="false">IF(OR(F12="",G12=Settings!$C$39,G12=Settings!$C$36),"",INDEX('Weekly Tracking'!$C$6:$C$29,COUNT('Weekly Tracking'!$E$6:$E$29))-F12)</f>
        <v/>
      </c>
      <c r="J12" s="69" t="str">
        <f aca="false">IF(OR(E12="",F12=""),"",MAX(0,F12-E12))</f>
        <v/>
      </c>
      <c r="K12" s="66"/>
      <c r="L12" s="56" t="n">
        <v>0.15</v>
      </c>
      <c r="M12" s="56" t="n">
        <v>0</v>
      </c>
      <c r="N12" s="70" t="n">
        <f aca="false">IF(L12="","",L12*IF(G12=Settings!$C$39,1,IF(Settings!$C$19="0/100",0,IF(Settings!$C$19="50/50",IF(OR(M12&gt;0,AND(G12&lt;&gt;"",G12&lt;&gt;Settings!$C$36)),0.5,0),MIN(1,M12)))))</f>
        <v>0</v>
      </c>
    </row>
    <row r="13" customFormat="false" ht="18" hidden="false" customHeight="true" outlineLevel="0" collapsed="false">
      <c r="B13" s="66" t="s">
        <v>234</v>
      </c>
      <c r="C13" s="66" t="s">
        <v>235</v>
      </c>
      <c r="D13" s="66" t="s">
        <v>218</v>
      </c>
      <c r="E13" s="55" t="n">
        <v>46339</v>
      </c>
      <c r="F13" s="55"/>
      <c r="G13" s="67" t="s">
        <v>161</v>
      </c>
      <c r="H13" s="55"/>
      <c r="I13" s="68" t="str">
        <f aca="false">IF(OR(F13="",G13=Settings!$C$39,G13=Settings!$C$36),"",INDEX('Weekly Tracking'!$C$6:$C$29,COUNT('Weekly Tracking'!$E$6:$E$29))-F13)</f>
        <v/>
      </c>
      <c r="J13" s="69" t="str">
        <f aca="false">IF(OR(E13="",F13=""),"",MAX(0,F13-E13))</f>
        <v/>
      </c>
      <c r="K13" s="66"/>
      <c r="L13" s="56" t="n">
        <v>0.25</v>
      </c>
      <c r="M13" s="56" t="n">
        <v>0</v>
      </c>
      <c r="N13" s="70" t="n">
        <f aca="false">IF(L13="","",L13*IF(G13=Settings!$C$39,1,IF(Settings!$C$19="0/100",0,IF(Settings!$C$19="50/50",IF(OR(M13&gt;0,AND(G13&lt;&gt;"",G13&lt;&gt;Settings!$C$36)),0.5,0),MIN(1,M13)))))</f>
        <v>0</v>
      </c>
    </row>
    <row r="14" customFormat="false" ht="18" hidden="false" customHeight="true" outlineLevel="0" collapsed="false">
      <c r="B14" s="66"/>
      <c r="C14" s="66"/>
      <c r="D14" s="66"/>
      <c r="E14" s="55"/>
      <c r="F14" s="55"/>
      <c r="G14" s="67"/>
      <c r="H14" s="55"/>
      <c r="I14" s="68" t="str">
        <f aca="false">IF(OR(F14="",G14=Settings!$C$39,G14=Settings!$C$36),"",INDEX('Weekly Tracking'!$C$6:$C$29,COUNT('Weekly Tracking'!$E$6:$E$29))-F14)</f>
        <v/>
      </c>
      <c r="J14" s="69" t="str">
        <f aca="false">IF(OR(E14="",F14=""),"",MAX(0,F14-E14))</f>
        <v/>
      </c>
      <c r="K14" s="66"/>
      <c r="L14" s="56"/>
      <c r="M14" s="56"/>
      <c r="N14" s="70" t="str">
        <f aca="false">IF(L14="","",L14*IF(G14=Settings!$C$39,1,IF(Settings!$C$19="0/100",0,IF(Settings!$C$19="50/50",IF(OR(M14&gt;0,AND(G14&lt;&gt;"",G14&lt;&gt;Settings!$C$36)),0.5,0),MIN(1,M14)))))</f>
        <v/>
      </c>
    </row>
    <row r="15" customFormat="false" ht="18" hidden="false" customHeight="true" outlineLevel="0" collapsed="false">
      <c r="B15" s="66"/>
      <c r="C15" s="66"/>
      <c r="D15" s="66"/>
      <c r="E15" s="55"/>
      <c r="F15" s="55"/>
      <c r="G15" s="67"/>
      <c r="H15" s="55"/>
      <c r="I15" s="68" t="str">
        <f aca="false">IF(OR(F15="",G15=Settings!$C$39,G15=Settings!$C$36),"",INDEX('Weekly Tracking'!$C$6:$C$29,COUNT('Weekly Tracking'!$E$6:$E$29))-F15)</f>
        <v/>
      </c>
      <c r="J15" s="69" t="str">
        <f aca="false">IF(OR(E15="",F15=""),"",MAX(0,F15-E15))</f>
        <v/>
      </c>
      <c r="K15" s="66"/>
      <c r="L15" s="56"/>
      <c r="M15" s="56"/>
      <c r="N15" s="70" t="str">
        <f aca="false">IF(L15="","",L15*IF(G15=Settings!$C$39,1,IF(Settings!$C$19="0/100",0,IF(Settings!$C$19="50/50",IF(OR(M15&gt;0,AND(G15&lt;&gt;"",G15&lt;&gt;Settings!$C$36)),0.5,0),MIN(1,M15)))))</f>
        <v/>
      </c>
    </row>
    <row r="16" customFormat="false" ht="18" hidden="false" customHeight="true" outlineLevel="0" collapsed="false">
      <c r="B16" s="66"/>
      <c r="C16" s="66"/>
      <c r="D16" s="66"/>
      <c r="E16" s="55"/>
      <c r="F16" s="55"/>
      <c r="G16" s="67"/>
      <c r="H16" s="55"/>
      <c r="I16" s="68" t="str">
        <f aca="false">IF(OR(F16="",G16=Settings!$C$39,G16=Settings!$C$36),"",INDEX('Weekly Tracking'!$C$6:$C$29,COUNT('Weekly Tracking'!$E$6:$E$29))-F16)</f>
        <v/>
      </c>
      <c r="J16" s="69" t="str">
        <f aca="false">IF(OR(E16="",F16=""),"",MAX(0,F16-E16))</f>
        <v/>
      </c>
      <c r="K16" s="66"/>
      <c r="L16" s="56"/>
      <c r="M16" s="56"/>
      <c r="N16" s="70" t="str">
        <f aca="false">IF(L16="","",L16*IF(G16=Settings!$C$39,1,IF(Settings!$C$19="0/100",0,IF(Settings!$C$19="50/50",IF(OR(M16&gt;0,AND(G16&lt;&gt;"",G16&lt;&gt;Settings!$C$36)),0.5,0),MIN(1,M16)))))</f>
        <v/>
      </c>
    </row>
    <row r="17" customFormat="false" ht="18" hidden="false" customHeight="true" outlineLevel="0" collapsed="false">
      <c r="B17" s="66"/>
      <c r="C17" s="66"/>
      <c r="D17" s="66"/>
      <c r="E17" s="55"/>
      <c r="F17" s="55"/>
      <c r="G17" s="67"/>
      <c r="H17" s="55"/>
      <c r="I17" s="68" t="str">
        <f aca="false">IF(OR(F17="",G17=Settings!$C$39,G17=Settings!$C$36),"",INDEX('Weekly Tracking'!$C$6:$C$29,COUNT('Weekly Tracking'!$E$6:$E$29))-F17)</f>
        <v/>
      </c>
      <c r="J17" s="69" t="str">
        <f aca="false">IF(OR(E17="",F17=""),"",MAX(0,F17-E17))</f>
        <v/>
      </c>
      <c r="K17" s="66"/>
      <c r="L17" s="56"/>
      <c r="M17" s="56"/>
      <c r="N17" s="70" t="str">
        <f aca="false">IF(L17="","",L17*IF(G17=Settings!$C$39,1,IF(Settings!$C$19="0/100",0,IF(Settings!$C$19="50/50",IF(OR(M17&gt;0,AND(G17&lt;&gt;"",G17&lt;&gt;Settings!$C$36)),0.5,0),MIN(1,M17)))))</f>
        <v/>
      </c>
    </row>
    <row r="18" customFormat="false" ht="18" hidden="false" customHeight="true" outlineLevel="0" collapsed="false">
      <c r="B18" s="66"/>
      <c r="C18" s="66"/>
      <c r="D18" s="66"/>
      <c r="E18" s="55"/>
      <c r="F18" s="55"/>
      <c r="G18" s="67"/>
      <c r="H18" s="55"/>
      <c r="I18" s="68" t="str">
        <f aca="false">IF(OR(F18="",G18=Settings!$C$39,G18=Settings!$C$36),"",INDEX('Weekly Tracking'!$C$6:$C$29,COUNT('Weekly Tracking'!$E$6:$E$29))-F18)</f>
        <v/>
      </c>
      <c r="J18" s="69" t="str">
        <f aca="false">IF(OR(E18="",F18=""),"",MAX(0,F18-E18))</f>
        <v/>
      </c>
      <c r="K18" s="66"/>
      <c r="L18" s="56"/>
      <c r="M18" s="56"/>
      <c r="N18" s="70" t="str">
        <f aca="false">IF(L18="","",L18*IF(G18=Settings!$C$39,1,IF(Settings!$C$19="0/100",0,IF(Settings!$C$19="50/50",IF(OR(M18&gt;0,AND(G18&lt;&gt;"",G18&lt;&gt;Settings!$C$36)),0.5,0),MIN(1,M18)))))</f>
        <v/>
      </c>
    </row>
    <row r="19" customFormat="false" ht="18" hidden="false" customHeight="true" outlineLevel="0" collapsed="false">
      <c r="B19" s="66"/>
      <c r="C19" s="66"/>
      <c r="D19" s="66"/>
      <c r="E19" s="55"/>
      <c r="F19" s="55"/>
      <c r="G19" s="67"/>
      <c r="H19" s="55"/>
      <c r="I19" s="68" t="str">
        <f aca="false">IF(OR(F19="",G19=Settings!$C$39,G19=Settings!$C$36),"",INDEX('Weekly Tracking'!$C$6:$C$29,COUNT('Weekly Tracking'!$E$6:$E$29))-F19)</f>
        <v/>
      </c>
      <c r="J19" s="69" t="str">
        <f aca="false">IF(OR(E19="",F19=""),"",MAX(0,F19-E19))</f>
        <v/>
      </c>
      <c r="K19" s="66"/>
      <c r="L19" s="56"/>
      <c r="M19" s="56"/>
      <c r="N19" s="70" t="str">
        <f aca="false">IF(L19="","",L19*IF(G19=Settings!$C$39,1,IF(Settings!$C$19="0/100",0,IF(Settings!$C$19="50/50",IF(OR(M19&gt;0,AND(G19&lt;&gt;"",G19&lt;&gt;Settings!$C$36)),0.5,0),MIN(1,M19)))))</f>
        <v/>
      </c>
    </row>
    <row r="20" customFormat="false" ht="18" hidden="false" customHeight="true" outlineLevel="0" collapsed="false">
      <c r="B20" s="66"/>
      <c r="C20" s="66"/>
      <c r="D20" s="66"/>
      <c r="E20" s="55"/>
      <c r="F20" s="55"/>
      <c r="G20" s="67"/>
      <c r="H20" s="55"/>
      <c r="I20" s="68" t="str">
        <f aca="false">IF(OR(F20="",G20=Settings!$C$39,G20=Settings!$C$36),"",INDEX('Weekly Tracking'!$C$6:$C$29,COUNT('Weekly Tracking'!$E$6:$E$29))-F20)</f>
        <v/>
      </c>
      <c r="J20" s="69" t="str">
        <f aca="false">IF(OR(E20="",F20=""),"",MAX(0,F20-E20))</f>
        <v/>
      </c>
      <c r="K20" s="66"/>
      <c r="L20" s="56"/>
      <c r="M20" s="56"/>
      <c r="N20" s="70" t="str">
        <f aca="false">IF(L20="","",L20*IF(G20=Settings!$C$39,1,IF(Settings!$C$19="0/100",0,IF(Settings!$C$19="50/50",IF(OR(M20&gt;0,AND(G20&lt;&gt;"",G20&lt;&gt;Settings!$C$36)),0.5,0),MIN(1,M20)))))</f>
        <v/>
      </c>
    </row>
    <row r="21" customFormat="false" ht="18" hidden="false" customHeight="true" outlineLevel="0" collapsed="false">
      <c r="B21" s="66"/>
      <c r="C21" s="66"/>
      <c r="D21" s="66"/>
      <c r="E21" s="55"/>
      <c r="F21" s="55"/>
      <c r="G21" s="67"/>
      <c r="H21" s="55"/>
      <c r="I21" s="68" t="str">
        <f aca="false">IF(OR(F21="",G21=Settings!$C$39,G21=Settings!$C$36),"",INDEX('Weekly Tracking'!$C$6:$C$29,COUNT('Weekly Tracking'!$E$6:$E$29))-F21)</f>
        <v/>
      </c>
      <c r="J21" s="69" t="str">
        <f aca="false">IF(OR(E21="",F21=""),"",MAX(0,F21-E21))</f>
        <v/>
      </c>
      <c r="K21" s="66"/>
      <c r="L21" s="56"/>
      <c r="M21" s="56"/>
      <c r="N21" s="70" t="str">
        <f aca="false">IF(L21="","",L21*IF(G21=Settings!$C$39,1,IF(Settings!$C$19="0/100",0,IF(Settings!$C$19="50/50",IF(OR(M21&gt;0,AND(G21&lt;&gt;"",G21&lt;&gt;Settings!$C$36)),0.5,0),MIN(1,M21)))))</f>
        <v/>
      </c>
    </row>
    <row r="22" customFormat="false" ht="18" hidden="false" customHeight="true" outlineLevel="0" collapsed="false">
      <c r="B22" s="66"/>
      <c r="C22" s="66"/>
      <c r="D22" s="66"/>
      <c r="E22" s="55"/>
      <c r="F22" s="55"/>
      <c r="G22" s="67"/>
      <c r="H22" s="55"/>
      <c r="I22" s="68" t="str">
        <f aca="false">IF(OR(F22="",G22=Settings!$C$39,G22=Settings!$C$36),"",INDEX('Weekly Tracking'!$C$6:$C$29,COUNT('Weekly Tracking'!$E$6:$E$29))-F22)</f>
        <v/>
      </c>
      <c r="J22" s="69" t="str">
        <f aca="false">IF(OR(E22="",F22=""),"",MAX(0,F22-E22))</f>
        <v/>
      </c>
      <c r="K22" s="66"/>
      <c r="L22" s="56"/>
      <c r="M22" s="56"/>
      <c r="N22" s="70" t="str">
        <f aca="false">IF(L22="","",L22*IF(G22=Settings!$C$39,1,IF(Settings!$C$19="0/100",0,IF(Settings!$C$19="50/50",IF(OR(M22&gt;0,AND(G22&lt;&gt;"",G22&lt;&gt;Settings!$C$36)),0.5,0),MIN(1,M22)))))</f>
        <v/>
      </c>
    </row>
    <row r="23" customFormat="false" ht="18" hidden="false" customHeight="true" outlineLevel="0" collapsed="false">
      <c r="B23" s="66"/>
      <c r="C23" s="66"/>
      <c r="D23" s="66"/>
      <c r="E23" s="55"/>
      <c r="F23" s="55"/>
      <c r="G23" s="67"/>
      <c r="H23" s="55"/>
      <c r="I23" s="68" t="str">
        <f aca="false">IF(OR(F23="",G23=Settings!$C$39,G23=Settings!$C$36),"",INDEX('Weekly Tracking'!$C$6:$C$29,COUNT('Weekly Tracking'!$E$6:$E$29))-F23)</f>
        <v/>
      </c>
      <c r="J23" s="69" t="str">
        <f aca="false">IF(OR(E23="",F23=""),"",MAX(0,F23-E23))</f>
        <v/>
      </c>
      <c r="K23" s="66"/>
      <c r="L23" s="56"/>
      <c r="M23" s="56"/>
      <c r="N23" s="70" t="str">
        <f aca="false">IF(L23="","",L23*IF(G23=Settings!$C$39,1,IF(Settings!$C$19="0/100",0,IF(Settings!$C$19="50/50",IF(OR(M23&gt;0,AND(G23&lt;&gt;"",G23&lt;&gt;Settings!$C$36)),0.5,0),MIN(1,M23)))))</f>
        <v/>
      </c>
    </row>
    <row r="24" customFormat="false" ht="18" hidden="false" customHeight="true" outlineLevel="0" collapsed="false">
      <c r="B24" s="66"/>
      <c r="C24" s="66"/>
      <c r="D24" s="66"/>
      <c r="E24" s="55"/>
      <c r="F24" s="55"/>
      <c r="G24" s="67"/>
      <c r="H24" s="55"/>
      <c r="I24" s="68" t="str">
        <f aca="false">IF(OR(F24="",G24=Settings!$C$39,G24=Settings!$C$36),"",INDEX('Weekly Tracking'!$C$6:$C$29,COUNT('Weekly Tracking'!$E$6:$E$29))-F24)</f>
        <v/>
      </c>
      <c r="J24" s="69" t="str">
        <f aca="false">IF(OR(E24="",F24=""),"",MAX(0,F24-E24))</f>
        <v/>
      </c>
      <c r="K24" s="66"/>
      <c r="L24" s="56"/>
      <c r="M24" s="56"/>
      <c r="N24" s="70" t="str">
        <f aca="false">IF(L24="","",L24*IF(G24=Settings!$C$39,1,IF(Settings!$C$19="0/100",0,IF(Settings!$C$19="50/50",IF(OR(M24&gt;0,AND(G24&lt;&gt;"",G24&lt;&gt;Settings!$C$36)),0.5,0),MIN(1,M24)))))</f>
        <v/>
      </c>
    </row>
    <row r="25" customFormat="false" ht="18" hidden="false" customHeight="true" outlineLevel="0" collapsed="false">
      <c r="B25" s="66"/>
      <c r="C25" s="66"/>
      <c r="D25" s="66"/>
      <c r="E25" s="55"/>
      <c r="F25" s="55"/>
      <c r="G25" s="67"/>
      <c r="H25" s="55"/>
      <c r="I25" s="68" t="str">
        <f aca="false">IF(OR(F25="",G25=Settings!$C$39,G25=Settings!$C$36),"",INDEX('Weekly Tracking'!$C$6:$C$29,COUNT('Weekly Tracking'!$E$6:$E$29))-F25)</f>
        <v/>
      </c>
      <c r="J25" s="69" t="str">
        <f aca="false">IF(OR(E25="",F25=""),"",MAX(0,F25-E25))</f>
        <v/>
      </c>
      <c r="K25" s="66"/>
      <c r="L25" s="56"/>
      <c r="M25" s="56"/>
      <c r="N25" s="70" t="str">
        <f aca="false">IF(L25="","",L25*IF(G25=Settings!$C$39,1,IF(Settings!$C$19="0/100",0,IF(Settings!$C$19="50/50",IF(OR(M25&gt;0,AND(G25&lt;&gt;"",G25&lt;&gt;Settings!$C$36)),0.5,0),MIN(1,M25)))))</f>
        <v/>
      </c>
    </row>
    <row r="26" customFormat="false" ht="18" hidden="false" customHeight="true" outlineLevel="0" collapsed="false">
      <c r="B26" s="66"/>
      <c r="C26" s="66"/>
      <c r="D26" s="66"/>
      <c r="E26" s="55"/>
      <c r="F26" s="55"/>
      <c r="G26" s="67"/>
      <c r="H26" s="55"/>
      <c r="I26" s="68" t="str">
        <f aca="false">IF(OR(F26="",G26=Settings!$C$39,G26=Settings!$C$36),"",INDEX('Weekly Tracking'!$C$6:$C$29,COUNT('Weekly Tracking'!$E$6:$E$29))-F26)</f>
        <v/>
      </c>
      <c r="J26" s="69" t="str">
        <f aca="false">IF(OR(E26="",F26=""),"",MAX(0,F26-E26))</f>
        <v/>
      </c>
      <c r="K26" s="66"/>
      <c r="L26" s="56"/>
      <c r="M26" s="56"/>
      <c r="N26" s="70" t="str">
        <f aca="false">IF(L26="","",L26*IF(G26=Settings!$C$39,1,IF(Settings!$C$19="0/100",0,IF(Settings!$C$19="50/50",IF(OR(M26&gt;0,AND(G26&lt;&gt;"",G26&lt;&gt;Settings!$C$36)),0.5,0),MIN(1,M26)))))</f>
        <v/>
      </c>
    </row>
    <row r="27" customFormat="false" ht="18" hidden="false" customHeight="true" outlineLevel="0" collapsed="false">
      <c r="B27" s="66"/>
      <c r="C27" s="66"/>
      <c r="D27" s="66"/>
      <c r="E27" s="55"/>
      <c r="F27" s="55"/>
      <c r="G27" s="67"/>
      <c r="H27" s="55"/>
      <c r="I27" s="68" t="str">
        <f aca="false">IF(OR(F27="",G27=Settings!$C$39,G27=Settings!$C$36),"",INDEX('Weekly Tracking'!$C$6:$C$29,COUNT('Weekly Tracking'!$E$6:$E$29))-F27)</f>
        <v/>
      </c>
      <c r="J27" s="69" t="str">
        <f aca="false">IF(OR(E27="",F27=""),"",MAX(0,F27-E27))</f>
        <v/>
      </c>
      <c r="K27" s="66"/>
      <c r="L27" s="56"/>
      <c r="M27" s="56"/>
      <c r="N27" s="70" t="str">
        <f aca="false">IF(L27="","",L27*IF(G27=Settings!$C$39,1,IF(Settings!$C$19="0/100",0,IF(Settings!$C$19="50/50",IF(OR(M27&gt;0,AND(G27&lt;&gt;"",G27&lt;&gt;Settings!$C$36)),0.5,0),MIN(1,M27)))))</f>
        <v/>
      </c>
    </row>
    <row r="28" customFormat="false" ht="18" hidden="false" customHeight="true" outlineLevel="0" collapsed="false">
      <c r="B28" s="66"/>
      <c r="C28" s="66"/>
      <c r="D28" s="66"/>
      <c r="E28" s="55"/>
      <c r="F28" s="55"/>
      <c r="G28" s="67"/>
      <c r="H28" s="55"/>
      <c r="I28" s="68" t="str">
        <f aca="false">IF(OR(F28="",G28=Settings!$C$39,G28=Settings!$C$36),"",INDEX('Weekly Tracking'!$C$6:$C$29,COUNT('Weekly Tracking'!$E$6:$E$29))-F28)</f>
        <v/>
      </c>
      <c r="J28" s="69" t="str">
        <f aca="false">IF(OR(E28="",F28=""),"",MAX(0,F28-E28))</f>
        <v/>
      </c>
      <c r="K28" s="66"/>
      <c r="L28" s="56"/>
      <c r="M28" s="56"/>
      <c r="N28" s="70" t="str">
        <f aca="false">IF(L28="","",L28*IF(G28=Settings!$C$39,1,IF(Settings!$C$19="0/100",0,IF(Settings!$C$19="50/50",IF(OR(M28&gt;0,AND(G28&lt;&gt;"",G28&lt;&gt;Settings!$C$36)),0.5,0),MIN(1,M28)))))</f>
        <v/>
      </c>
    </row>
    <row r="29" customFormat="false" ht="18" hidden="false" customHeight="true" outlineLevel="0" collapsed="false">
      <c r="B29" s="66"/>
      <c r="C29" s="66"/>
      <c r="D29" s="66"/>
      <c r="E29" s="55"/>
      <c r="F29" s="55"/>
      <c r="G29" s="67"/>
      <c r="H29" s="55"/>
      <c r="I29" s="68" t="str">
        <f aca="false">IF(OR(F29="",G29=Settings!$C$39,G29=Settings!$C$36),"",INDEX('Weekly Tracking'!$C$6:$C$29,COUNT('Weekly Tracking'!$E$6:$E$29))-F29)</f>
        <v/>
      </c>
      <c r="J29" s="69" t="str">
        <f aca="false">IF(OR(E29="",F29=""),"",MAX(0,F29-E29))</f>
        <v/>
      </c>
      <c r="K29" s="66"/>
      <c r="L29" s="56"/>
      <c r="M29" s="56"/>
      <c r="N29" s="70" t="str">
        <f aca="false">IF(L29="","",L29*IF(G29=Settings!$C$39,1,IF(Settings!$C$19="0/100",0,IF(Settings!$C$19="50/50",IF(OR(M29&gt;0,AND(G29&lt;&gt;"",G29&lt;&gt;Settings!$C$36)),0.5,0),MIN(1,M29)))))</f>
        <v/>
      </c>
    </row>
    <row r="30" customFormat="false" ht="18" hidden="false" customHeight="true" outlineLevel="0" collapsed="false">
      <c r="B30" s="66"/>
      <c r="C30" s="66"/>
      <c r="D30" s="66"/>
      <c r="E30" s="55"/>
      <c r="F30" s="55"/>
      <c r="G30" s="67"/>
      <c r="H30" s="55"/>
      <c r="I30" s="68" t="str">
        <f aca="false">IF(OR(F30="",G30=Settings!$C$39,G30=Settings!$C$36),"",INDEX('Weekly Tracking'!$C$6:$C$29,COUNT('Weekly Tracking'!$E$6:$E$29))-F30)</f>
        <v/>
      </c>
      <c r="J30" s="69" t="str">
        <f aca="false">IF(OR(E30="",F30=""),"",MAX(0,F30-E30))</f>
        <v/>
      </c>
      <c r="K30" s="66"/>
      <c r="L30" s="56"/>
      <c r="M30" s="56"/>
      <c r="N30" s="70" t="str">
        <f aca="false">IF(L30="","",L30*IF(G30=Settings!$C$39,1,IF(Settings!$C$19="0/100",0,IF(Settings!$C$19="50/50",IF(OR(M30&gt;0,AND(G30&lt;&gt;"",G30&lt;&gt;Settings!$C$36)),0.5,0),MIN(1,M30)))))</f>
        <v/>
      </c>
    </row>
    <row r="31" customFormat="false" ht="18" hidden="false" customHeight="true" outlineLevel="0" collapsed="false">
      <c r="B31" s="66"/>
      <c r="C31" s="66"/>
      <c r="D31" s="66"/>
      <c r="E31" s="55"/>
      <c r="F31" s="55"/>
      <c r="G31" s="67"/>
      <c r="H31" s="55"/>
      <c r="I31" s="68" t="str">
        <f aca="false">IF(OR(F31="",G31=Settings!$C$39,G31=Settings!$C$36),"",INDEX('Weekly Tracking'!$C$6:$C$29,COUNT('Weekly Tracking'!$E$6:$E$29))-F31)</f>
        <v/>
      </c>
      <c r="J31" s="69" t="str">
        <f aca="false">IF(OR(E31="",F31=""),"",MAX(0,F31-E31))</f>
        <v/>
      </c>
      <c r="K31" s="66"/>
      <c r="L31" s="56"/>
      <c r="M31" s="56"/>
      <c r="N31" s="70" t="str">
        <f aca="false">IF(L31="","",L31*IF(G31=Settings!$C$39,1,IF(Settings!$C$19="0/100",0,IF(Settings!$C$19="50/50",IF(OR(M31&gt;0,AND(G31&lt;&gt;"",G31&lt;&gt;Settings!$C$36)),0.5,0),MIN(1,M31)))))</f>
        <v/>
      </c>
    </row>
    <row r="32" customFormat="false" ht="18" hidden="false" customHeight="true" outlineLevel="0" collapsed="false">
      <c r="B32" s="66"/>
      <c r="C32" s="66"/>
      <c r="D32" s="66"/>
      <c r="E32" s="55"/>
      <c r="F32" s="55"/>
      <c r="G32" s="67"/>
      <c r="H32" s="55"/>
      <c r="I32" s="68" t="str">
        <f aca="false">IF(OR(F32="",G32=Settings!$C$39,G32=Settings!$C$36),"",INDEX('Weekly Tracking'!$C$6:$C$29,COUNT('Weekly Tracking'!$E$6:$E$29))-F32)</f>
        <v/>
      </c>
      <c r="J32" s="69" t="str">
        <f aca="false">IF(OR(E32="",F32=""),"",MAX(0,F32-E32))</f>
        <v/>
      </c>
      <c r="K32" s="66"/>
      <c r="L32" s="56"/>
      <c r="M32" s="56"/>
      <c r="N32" s="70" t="str">
        <f aca="false">IF(L32="","",L32*IF(G32=Settings!$C$39,1,IF(Settings!$C$19="0/100",0,IF(Settings!$C$19="50/50",IF(OR(M32&gt;0,AND(G32&lt;&gt;"",G32&lt;&gt;Settings!$C$36)),0.5,0),MIN(1,M32)))))</f>
        <v/>
      </c>
    </row>
    <row r="33" customFormat="false" ht="18" hidden="false" customHeight="true" outlineLevel="0" collapsed="false">
      <c r="B33" s="66"/>
      <c r="C33" s="66"/>
      <c r="D33" s="66"/>
      <c r="E33" s="55"/>
      <c r="F33" s="55"/>
      <c r="G33" s="67"/>
      <c r="H33" s="55"/>
      <c r="I33" s="68" t="str">
        <f aca="false">IF(OR(F33="",G33=Settings!$C$39,G33=Settings!$C$36),"",INDEX('Weekly Tracking'!$C$6:$C$29,COUNT('Weekly Tracking'!$E$6:$E$29))-F33)</f>
        <v/>
      </c>
      <c r="J33" s="69" t="str">
        <f aca="false">IF(OR(E33="",F33=""),"",MAX(0,F33-E33))</f>
        <v/>
      </c>
      <c r="K33" s="66"/>
      <c r="L33" s="56"/>
      <c r="M33" s="56"/>
      <c r="N33" s="70" t="str">
        <f aca="false">IF(L33="","",L33*IF(G33=Settings!$C$39,1,IF(Settings!$C$19="0/100",0,IF(Settings!$C$19="50/50",IF(OR(M33&gt;0,AND(G33&lt;&gt;"",G33&lt;&gt;Settings!$C$36)),0.5,0),MIN(1,M33)))))</f>
        <v/>
      </c>
    </row>
    <row r="34" customFormat="false" ht="18" hidden="false" customHeight="true" outlineLevel="0" collapsed="false">
      <c r="B34" s="66"/>
      <c r="C34" s="66"/>
      <c r="D34" s="66"/>
      <c r="E34" s="55"/>
      <c r="F34" s="55"/>
      <c r="G34" s="67"/>
      <c r="H34" s="55"/>
      <c r="I34" s="68" t="str">
        <f aca="false">IF(OR(F34="",G34=Settings!$C$39,G34=Settings!$C$36),"",INDEX('Weekly Tracking'!$C$6:$C$29,COUNT('Weekly Tracking'!$E$6:$E$29))-F34)</f>
        <v/>
      </c>
      <c r="J34" s="69" t="str">
        <f aca="false">IF(OR(E34="",F34=""),"",MAX(0,F34-E34))</f>
        <v/>
      </c>
      <c r="K34" s="66"/>
      <c r="L34" s="56"/>
      <c r="M34" s="56"/>
      <c r="N34" s="70" t="str">
        <f aca="false">IF(L34="","",L34*IF(G34=Settings!$C$39,1,IF(Settings!$C$19="0/100",0,IF(Settings!$C$19="50/50",IF(OR(M34&gt;0,AND(G34&lt;&gt;"",G34&lt;&gt;Settings!$C$36)),0.5,0),MIN(1,M34)))))</f>
        <v/>
      </c>
    </row>
    <row r="35" customFormat="false" ht="18" hidden="false" customHeight="true" outlineLevel="0" collapsed="false">
      <c r="B35" s="66"/>
      <c r="C35" s="66"/>
      <c r="D35" s="66"/>
      <c r="E35" s="55"/>
      <c r="F35" s="55"/>
      <c r="G35" s="67"/>
      <c r="H35" s="55"/>
      <c r="I35" s="68" t="str">
        <f aca="false">IF(OR(F35="",G35=Settings!$C$39,G35=Settings!$C$36),"",INDEX('Weekly Tracking'!$C$6:$C$29,COUNT('Weekly Tracking'!$E$6:$E$29))-F35)</f>
        <v/>
      </c>
      <c r="J35" s="69" t="str">
        <f aca="false">IF(OR(E35="",F35=""),"",MAX(0,F35-E35))</f>
        <v/>
      </c>
      <c r="K35" s="66"/>
      <c r="L35" s="56"/>
      <c r="M35" s="56"/>
      <c r="N35" s="70" t="str">
        <f aca="false">IF(L35="","",L35*IF(G35=Settings!$C$39,1,IF(Settings!$C$19="0/100",0,IF(Settings!$C$19="50/50",IF(OR(M35&gt;0,AND(G35&lt;&gt;"",G35&lt;&gt;Settings!$C$36)),0.5,0),MIN(1,M35)))))</f>
        <v/>
      </c>
    </row>
    <row r="36" customFormat="false" ht="15" hidden="false" customHeight="false" outlineLevel="0" collapsed="false">
      <c r="K36" s="71" t="s">
        <v>236</v>
      </c>
      <c r="L36" s="72" t="n">
        <f aca="false">SUM(L6:L35)</f>
        <v>1</v>
      </c>
      <c r="N36" s="73" t="n">
        <f aca="false">SUM(N6:N35)</f>
        <v>0.4</v>
      </c>
    </row>
    <row r="37" customFormat="false" ht="15" hidden="false" customHeight="false" outlineLevel="0" collapsed="false">
      <c r="K37" s="65" t="s">
        <v>237</v>
      </c>
    </row>
    <row r="39" customFormat="false" ht="15" hidden="false" customHeight="false" outlineLevel="0" collapsed="false">
      <c r="B39" s="35" t="s">
        <v>46</v>
      </c>
    </row>
  </sheetData>
  <conditionalFormatting sqref="G6:G35">
    <cfRule type="cellIs" priority="2" operator="equal" aboveAverage="0" equalAverage="0" bottom="0" percent="0" rank="0" text="" dxfId="0">
      <formula>Settings!$C$39</formula>
    </cfRule>
    <cfRule type="cellIs" priority="3" operator="equal" aboveAverage="0" equalAverage="0" bottom="0" percent="0" rank="0" text="" dxfId="1">
      <formula>Settings!$C$37</formula>
    </cfRule>
    <cfRule type="cellIs" priority="4" operator="equal" aboveAverage="0" equalAverage="0" bottom="0" percent="0" rank="0" text="" dxfId="12">
      <formula>Settings!$C$38</formula>
    </cfRule>
    <cfRule type="cellIs" priority="5" operator="equal" aboveAverage="0" equalAverage="0" bottom="0" percent="0" rank="0" text="" dxfId="15">
      <formula>Settings!$C$36</formula>
    </cfRule>
  </conditionalFormatting>
  <conditionalFormatting sqref="I6:I35">
    <cfRule type="expression" priority="6" aboveAverage="0" equalAverage="0" bottom="0" percent="0" rank="0" text="" dxfId="2">
      <formula>AND(ISNUMBER(I6),I6&gt;Settings!$C$25)</formula>
    </cfRule>
    <cfRule type="dataBar" priority="7">
      <dataBar showValue="1" minLength="10" maxLength="90">
        <cfvo type="num" val="0"/>
        <cfvo type="num" val="30"/>
        <color rgb="FFF0B429"/>
      </dataBar>
      <extLst>
        <ext xmlns:x14="http://schemas.microsoft.com/office/spreadsheetml/2009/9/main" uri="{B025F937-C7B1-47D3-B67F-A62EFF666E3E}">
          <x14:id>{D2C04916-F630-487E-BF15-FB83461553A7}</x14:id>
        </ext>
      </extLst>
    </cfRule>
  </conditionalFormatting>
  <conditionalFormatting sqref="L36">
    <cfRule type="expression" priority="8" aboveAverage="0" equalAverage="0" bottom="0" percent="0" rank="0" text="" dxfId="2">
      <formula>ROUND(L36,4)&lt;&gt;1</formula>
    </cfRule>
  </conditionalFormatting>
  <dataValidations count="1">
    <dataValidation allowBlank="true" errorStyle="stop" operator="between" showDropDown="false" showErrorMessage="false" showInputMessage="false" sqref="G6:G35" type="list">
      <formula1>Settings!$C$36:$C$39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&amp;C&amp;"Arial,Italic"&amp;8© Carlos Alberto Ruiz Brito · 14/10/2026 · Delivery con Charly Brito · carlosruizbrito.com · CC BY 4.0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C04916-F630-487E-BF15-FB83461553A7}">
            <x14:dataBar minLength="10" maxLength="90" axisPosition="none" gradient="true">
              <x14:cfvo type="num">
                <xm:f>0</xm:f>
              </x14:cfvo>
              <x14:cfvo type="num">
                <xm:f>30</xm:f>
              </x14:cfvo>
              <x14:negativeFillColor rgb="FFF0B429"/>
              <x14:axisColor rgb="FF000000"/>
            </x14:dataBar>
          </x14:cfRule>
          <xm:sqref>I6:I35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34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10" min="9" style="1" width="8"/>
    <col collapsed="false" customWidth="true" hidden="false" outlineLevel="0" max="11" min="11" style="1" width="9"/>
    <col collapsed="false" customWidth="true" hidden="false" outlineLevel="0" max="13" min="12" style="1" width="10"/>
    <col collapsed="false" customWidth="true" hidden="false" outlineLevel="0" max="15" min="14" style="1" width="11"/>
    <col collapsed="false" customWidth="true" hidden="true" outlineLevel="0" max="16" min="16" style="1" width="0.1"/>
    <col collapsed="false" customWidth="true" hidden="false" outlineLevel="0" max="17" min="17" style="1" width="2"/>
  </cols>
  <sheetData>
    <row r="1" customFormat="false" ht="30" hidden="false" customHeight="true" outlineLevel="0" collapsed="false">
      <c r="A1" s="2"/>
      <c r="B1" s="36" t="s">
        <v>238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8" hidden="false" customHeight="true" outlineLevel="0" collapsed="false">
      <c r="A2" s="2"/>
      <c r="B2" s="37" t="s">
        <v>239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36" hidden="false" customHeight="true" outlineLevel="0" collapsed="false">
      <c r="B5" s="40" t="s">
        <v>31</v>
      </c>
      <c r="C5" s="40" t="s">
        <v>240</v>
      </c>
      <c r="D5" s="40" t="s">
        <v>32</v>
      </c>
      <c r="E5" s="40" t="s">
        <v>33</v>
      </c>
      <c r="F5" s="40" t="s">
        <v>241</v>
      </c>
      <c r="G5" s="40" t="s">
        <v>242</v>
      </c>
      <c r="H5" s="40" t="s">
        <v>34</v>
      </c>
      <c r="I5" s="40" t="s">
        <v>243</v>
      </c>
      <c r="J5" s="40" t="s">
        <v>244</v>
      </c>
      <c r="K5" s="40" t="s">
        <v>35</v>
      </c>
      <c r="L5" s="40" t="s">
        <v>36</v>
      </c>
      <c r="M5" s="40" t="s">
        <v>24</v>
      </c>
      <c r="N5" s="40" t="s">
        <v>37</v>
      </c>
      <c r="O5" s="40" t="s">
        <v>245</v>
      </c>
      <c r="P5" s="40" t="s">
        <v>246</v>
      </c>
    </row>
    <row r="6" customFormat="false" ht="30" hidden="false" customHeight="true" outlineLevel="0" collapsed="false">
      <c r="B6" s="74" t="s">
        <v>247</v>
      </c>
      <c r="C6" s="74" t="s">
        <v>171</v>
      </c>
      <c r="D6" s="75" t="s">
        <v>248</v>
      </c>
      <c r="E6" s="75" t="s">
        <v>221</v>
      </c>
      <c r="F6" s="76" t="n">
        <v>46304</v>
      </c>
      <c r="G6" s="75" t="s">
        <v>249</v>
      </c>
      <c r="H6" s="75" t="s">
        <v>250</v>
      </c>
      <c r="I6" s="74" t="n">
        <v>4</v>
      </c>
      <c r="J6" s="74" t="n">
        <v>4</v>
      </c>
      <c r="K6" s="77" t="n">
        <f aca="false">IF(AND(ISNUMBER(I6),ISNUMBER(J6)),I6*J6,"")</f>
        <v>16</v>
      </c>
      <c r="L6" s="78" t="str">
        <f aca="false">IF(K6="","",IF(K6&gt;=Settings!$C$26,Settings!$C$46,IF(K6&gt;=Settings!$C$27,Settings!$C$47,IF(K6&gt;=Settings!$C$28,Settings!$C$48,Settings!$C$49))))</f>
        <v>Critical</v>
      </c>
      <c r="M6" s="74" t="s">
        <v>177</v>
      </c>
      <c r="N6" s="79" t="str">
        <f aca="false">IF(B6="","",IF(COUNTA(E6,F6,G6,H6)=4,"Yes","No"))</f>
        <v>Yes</v>
      </c>
      <c r="O6" s="79" t="str">
        <f aca="false">IF(OR(B6="",M6=Settings!$C$45),"",IF(AND(ISNUMBER(F6),F6&lt;INDEX('Weekly Tracking'!$C$6:$C$29,COUNT('Weekly Tracking'!$E$6:$E$29))),"Yes","No"))</f>
        <v>No</v>
      </c>
      <c r="P6" s="77" t="n">
        <f aca="false">IF(AND(M6=Settings!$C$44,ISNUMBER(K6)),K6+(100-ROW())/1000,0)</f>
        <v>16.094</v>
      </c>
    </row>
    <row r="7" customFormat="false" ht="30" hidden="false" customHeight="true" outlineLevel="0" collapsed="false">
      <c r="B7" s="74" t="s">
        <v>251</v>
      </c>
      <c r="C7" s="74" t="s">
        <v>171</v>
      </c>
      <c r="D7" s="75" t="s">
        <v>252</v>
      </c>
      <c r="E7" s="75"/>
      <c r="F7" s="76" t="n">
        <v>46295</v>
      </c>
      <c r="G7" s="75" t="s">
        <v>253</v>
      </c>
      <c r="H7" s="75" t="s">
        <v>254</v>
      </c>
      <c r="I7" s="74" t="n">
        <v>3</v>
      </c>
      <c r="J7" s="74" t="n">
        <v>3</v>
      </c>
      <c r="K7" s="77" t="n">
        <f aca="false">IF(AND(ISNUMBER(I7),ISNUMBER(J7)),I7*J7,"")</f>
        <v>9</v>
      </c>
      <c r="L7" s="78" t="str">
        <f aca="false">IF(K7="","",IF(K7&gt;=Settings!$C$26,Settings!$C$46,IF(K7&gt;=Settings!$C$27,Settings!$C$47,IF(K7&gt;=Settings!$C$28,Settings!$C$48,Settings!$C$49))))</f>
        <v>High</v>
      </c>
      <c r="M7" s="74" t="s">
        <v>177</v>
      </c>
      <c r="N7" s="79" t="str">
        <f aca="false">IF(B7="","",IF(COUNTA(E7,F7,G7,H7)=4,"Yes","No"))</f>
        <v>No</v>
      </c>
      <c r="O7" s="79" t="str">
        <f aca="false">IF(OR(B7="",M7=Settings!$C$45),"",IF(AND(ISNUMBER(F7),F7&lt;INDEX('Weekly Tracking'!$C$6:$C$29,COUNT('Weekly Tracking'!$E$6:$E$29))),"Yes","No"))</f>
        <v>Yes</v>
      </c>
      <c r="P7" s="77" t="n">
        <f aca="false">IF(AND(M7=Settings!$C$44,ISNUMBER(K7)),K7+(100-ROW())/1000,0)</f>
        <v>9.093</v>
      </c>
    </row>
    <row r="8" customFormat="false" ht="30" hidden="false" customHeight="true" outlineLevel="0" collapsed="false">
      <c r="B8" s="74" t="s">
        <v>255</v>
      </c>
      <c r="C8" s="74" t="s">
        <v>174</v>
      </c>
      <c r="D8" s="75" t="s">
        <v>256</v>
      </c>
      <c r="E8" s="75" t="s">
        <v>218</v>
      </c>
      <c r="F8" s="76" t="n">
        <v>46300</v>
      </c>
      <c r="G8" s="75" t="s">
        <v>257</v>
      </c>
      <c r="H8" s="75" t="s">
        <v>258</v>
      </c>
      <c r="I8" s="74" t="n">
        <v>5</v>
      </c>
      <c r="J8" s="74" t="n">
        <v>3</v>
      </c>
      <c r="K8" s="77" t="n">
        <f aca="false">IF(AND(ISNUMBER(I8),ISNUMBER(J8)),I8*J8,"")</f>
        <v>15</v>
      </c>
      <c r="L8" s="78" t="str">
        <f aca="false">IF(K8="","",IF(K8&gt;=Settings!$C$26,Settings!$C$46,IF(K8&gt;=Settings!$C$27,Settings!$C$47,IF(K8&gt;=Settings!$C$28,Settings!$C$48,Settings!$C$49))))</f>
        <v>Critical</v>
      </c>
      <c r="M8" s="74" t="s">
        <v>177</v>
      </c>
      <c r="N8" s="79" t="str">
        <f aca="false">IF(B8="","",IF(COUNTA(E8,F8,G8,H8)=4,"Yes","No"))</f>
        <v>Yes</v>
      </c>
      <c r="O8" s="79" t="str">
        <f aca="false">IF(OR(B8="",M8=Settings!$C$45),"",IF(AND(ISNUMBER(F8),F8&lt;INDEX('Weekly Tracking'!$C$6:$C$29,COUNT('Weekly Tracking'!$E$6:$E$29))),"Yes","No"))</f>
        <v>No</v>
      </c>
      <c r="P8" s="77" t="n">
        <f aca="false">IF(AND(M8=Settings!$C$44,ISNUMBER(K8)),K8+(100-ROW())/1000,0)</f>
        <v>15.092</v>
      </c>
    </row>
    <row r="9" customFormat="false" ht="30" hidden="false" customHeight="true" outlineLevel="0" collapsed="false">
      <c r="B9" s="74" t="s">
        <v>259</v>
      </c>
      <c r="C9" s="74" t="s">
        <v>171</v>
      </c>
      <c r="D9" s="75" t="s">
        <v>260</v>
      </c>
      <c r="E9" s="75" t="s">
        <v>218</v>
      </c>
      <c r="F9" s="76" t="n">
        <v>46309</v>
      </c>
      <c r="G9" s="75" t="s">
        <v>261</v>
      </c>
      <c r="H9" s="75" t="s">
        <v>262</v>
      </c>
      <c r="I9" s="74" t="n">
        <v>2</v>
      </c>
      <c r="J9" s="74" t="n">
        <v>3</v>
      </c>
      <c r="K9" s="77" t="n">
        <f aca="false">IF(AND(ISNUMBER(I9),ISNUMBER(J9)),I9*J9,"")</f>
        <v>6</v>
      </c>
      <c r="L9" s="78" t="str">
        <f aca="false">IF(K9="","",IF(K9&gt;=Settings!$C$26,Settings!$C$46,IF(K9&gt;=Settings!$C$27,Settings!$C$47,IF(K9&gt;=Settings!$C$28,Settings!$C$48,Settings!$C$49))))</f>
        <v>Medium</v>
      </c>
      <c r="M9" s="74" t="s">
        <v>177</v>
      </c>
      <c r="N9" s="79" t="str">
        <f aca="false">IF(B9="","",IF(COUNTA(E9,F9,G9,H9)=4,"Yes","No"))</f>
        <v>Yes</v>
      </c>
      <c r="O9" s="79" t="str">
        <f aca="false">IF(OR(B9="",M9=Settings!$C$45),"",IF(AND(ISNUMBER(F9),F9&lt;INDEX('Weekly Tracking'!$C$6:$C$29,COUNT('Weekly Tracking'!$E$6:$E$29))),"Yes","No"))</f>
        <v>No</v>
      </c>
      <c r="P9" s="77" t="n">
        <f aca="false">IF(AND(M9=Settings!$C$44,ISNUMBER(K9)),K9+(100-ROW())/1000,0)</f>
        <v>6.091</v>
      </c>
    </row>
    <row r="10" customFormat="false" ht="30" hidden="false" customHeight="true" outlineLevel="0" collapsed="false">
      <c r="B10" s="74" t="s">
        <v>263</v>
      </c>
      <c r="C10" s="74" t="s">
        <v>171</v>
      </c>
      <c r="D10" s="75" t="s">
        <v>264</v>
      </c>
      <c r="E10" s="75" t="s">
        <v>265</v>
      </c>
      <c r="F10" s="76" t="n">
        <v>46315</v>
      </c>
      <c r="G10" s="75" t="s">
        <v>266</v>
      </c>
      <c r="H10" s="75" t="s">
        <v>267</v>
      </c>
      <c r="I10" s="74" t="n">
        <v>2</v>
      </c>
      <c r="J10" s="74" t="n">
        <v>4</v>
      </c>
      <c r="K10" s="77" t="n">
        <f aca="false">IF(AND(ISNUMBER(I10),ISNUMBER(J10)),I10*J10,"")</f>
        <v>8</v>
      </c>
      <c r="L10" s="78" t="str">
        <f aca="false">IF(K10="","",IF(K10&gt;=Settings!$C$26,Settings!$C$46,IF(K10&gt;=Settings!$C$27,Settings!$C$47,IF(K10&gt;=Settings!$C$28,Settings!$C$48,Settings!$C$49))))</f>
        <v>High</v>
      </c>
      <c r="M10" s="74" t="s">
        <v>177</v>
      </c>
      <c r="N10" s="79" t="str">
        <f aca="false">IF(B10="","",IF(COUNTA(E10,F10,G10,H10)=4,"Yes","No"))</f>
        <v>Yes</v>
      </c>
      <c r="O10" s="79" t="str">
        <f aca="false">IF(OR(B10="",M10=Settings!$C$45),"",IF(AND(ISNUMBER(F10),F10&lt;INDEX('Weekly Tracking'!$C$6:$C$29,COUNT('Weekly Tracking'!$E$6:$E$29))),"Yes","No"))</f>
        <v>No</v>
      </c>
      <c r="P10" s="77" t="n">
        <f aca="false">IF(AND(M10=Settings!$C$44,ISNUMBER(K10)),K10+(100-ROW())/1000,0)</f>
        <v>8.09</v>
      </c>
    </row>
    <row r="11" customFormat="false" ht="30" hidden="false" customHeight="true" outlineLevel="0" collapsed="false">
      <c r="B11" s="74" t="s">
        <v>268</v>
      </c>
      <c r="C11" s="74" t="s">
        <v>171</v>
      </c>
      <c r="D11" s="75" t="s">
        <v>269</v>
      </c>
      <c r="E11" s="75" t="s">
        <v>218</v>
      </c>
      <c r="F11" s="76" t="n">
        <v>46285</v>
      </c>
      <c r="G11" s="75" t="s">
        <v>270</v>
      </c>
      <c r="H11" s="75" t="s">
        <v>271</v>
      </c>
      <c r="I11" s="74" t="n">
        <v>2</v>
      </c>
      <c r="J11" s="74" t="n">
        <v>2</v>
      </c>
      <c r="K11" s="77" t="n">
        <f aca="false">IF(AND(ISNUMBER(I11),ISNUMBER(J11)),I11*J11,"")</f>
        <v>4</v>
      </c>
      <c r="L11" s="78" t="str">
        <f aca="false">IF(K11="","",IF(K11&gt;=Settings!$C$26,Settings!$C$46,IF(K11&gt;=Settings!$C$27,Settings!$C$47,IF(K11&gt;=Settings!$C$28,Settings!$C$48,Settings!$C$49))))</f>
        <v>Medium</v>
      </c>
      <c r="M11" s="74" t="s">
        <v>179</v>
      </c>
      <c r="N11" s="79" t="str">
        <f aca="false">IF(B11="","",IF(COUNTA(E11,F11,G11,H11)=4,"Yes","No"))</f>
        <v>Yes</v>
      </c>
      <c r="O11" s="79" t="str">
        <f aca="false">IF(OR(B11="",M11=Settings!$C$45),"",IF(AND(ISNUMBER(F11),F11&lt;INDEX('Weekly Tracking'!$C$6:$C$29,COUNT('Weekly Tracking'!$E$6:$E$29))),"Yes","No"))</f>
        <v/>
      </c>
      <c r="P11" s="77" t="n">
        <f aca="false">IF(AND(M11=Settings!$C$44,ISNUMBER(K11)),K11+(100-ROW())/1000,0)</f>
        <v>0</v>
      </c>
    </row>
    <row r="12" customFormat="false" ht="30" hidden="false" customHeight="true" outlineLevel="0" collapsed="false">
      <c r="B12" s="74"/>
      <c r="C12" s="74"/>
      <c r="D12" s="75"/>
      <c r="E12" s="75"/>
      <c r="F12" s="76"/>
      <c r="G12" s="75"/>
      <c r="H12" s="75"/>
      <c r="I12" s="74"/>
      <c r="J12" s="74"/>
      <c r="K12" s="77" t="str">
        <f aca="false">IF(AND(ISNUMBER(I12),ISNUMBER(J12)),I12*J12,"")</f>
        <v/>
      </c>
      <c r="L12" s="78" t="str">
        <f aca="false">IF(K12="","",IF(K12&gt;=Settings!$C$26,Settings!$C$46,IF(K12&gt;=Settings!$C$27,Settings!$C$47,IF(K12&gt;=Settings!$C$28,Settings!$C$48,Settings!$C$49))))</f>
        <v/>
      </c>
      <c r="M12" s="74"/>
      <c r="N12" s="79" t="str">
        <f aca="false">IF(B12="","",IF(COUNTA(E12,F12,G12,H12)=4,"Yes","No"))</f>
        <v/>
      </c>
      <c r="O12" s="79" t="str">
        <f aca="false">IF(OR(B12="",M12=Settings!$C$45),"",IF(AND(ISNUMBER(F12),F12&lt;INDEX('Weekly Tracking'!$C$6:$C$29,COUNT('Weekly Tracking'!$E$6:$E$29))),"Yes","No"))</f>
        <v/>
      </c>
      <c r="P12" s="77" t="n">
        <f aca="false">IF(AND(M12=Settings!$C$44,ISNUMBER(K12)),K12+(100-ROW())/1000,0)</f>
        <v>0</v>
      </c>
    </row>
    <row r="13" customFormat="false" ht="30" hidden="false" customHeight="true" outlineLevel="0" collapsed="false">
      <c r="B13" s="74"/>
      <c r="C13" s="74"/>
      <c r="D13" s="75"/>
      <c r="E13" s="75"/>
      <c r="F13" s="76"/>
      <c r="G13" s="75"/>
      <c r="H13" s="75"/>
      <c r="I13" s="74"/>
      <c r="J13" s="74"/>
      <c r="K13" s="77" t="str">
        <f aca="false">IF(AND(ISNUMBER(I13),ISNUMBER(J13)),I13*J13,"")</f>
        <v/>
      </c>
      <c r="L13" s="78" t="str">
        <f aca="false">IF(K13="","",IF(K13&gt;=Settings!$C$26,Settings!$C$46,IF(K13&gt;=Settings!$C$27,Settings!$C$47,IF(K13&gt;=Settings!$C$28,Settings!$C$48,Settings!$C$49))))</f>
        <v/>
      </c>
      <c r="M13" s="74"/>
      <c r="N13" s="79" t="str">
        <f aca="false">IF(B13="","",IF(COUNTA(E13,F13,G13,H13)=4,"Yes","No"))</f>
        <v/>
      </c>
      <c r="O13" s="79" t="str">
        <f aca="false">IF(OR(B13="",M13=Settings!$C$45),"",IF(AND(ISNUMBER(F13),F13&lt;INDEX('Weekly Tracking'!$C$6:$C$29,COUNT('Weekly Tracking'!$E$6:$E$29))),"Yes","No"))</f>
        <v/>
      </c>
      <c r="P13" s="77" t="n">
        <f aca="false">IF(AND(M13=Settings!$C$44,ISNUMBER(K13)),K13+(100-ROW())/1000,0)</f>
        <v>0</v>
      </c>
    </row>
    <row r="14" customFormat="false" ht="30" hidden="false" customHeight="true" outlineLevel="0" collapsed="false">
      <c r="B14" s="74"/>
      <c r="C14" s="74"/>
      <c r="D14" s="75"/>
      <c r="E14" s="75"/>
      <c r="F14" s="76"/>
      <c r="G14" s="75"/>
      <c r="H14" s="75"/>
      <c r="I14" s="74"/>
      <c r="J14" s="74"/>
      <c r="K14" s="77" t="str">
        <f aca="false">IF(AND(ISNUMBER(I14),ISNUMBER(J14)),I14*J14,"")</f>
        <v/>
      </c>
      <c r="L14" s="78" t="str">
        <f aca="false">IF(K14="","",IF(K14&gt;=Settings!$C$26,Settings!$C$46,IF(K14&gt;=Settings!$C$27,Settings!$C$47,IF(K14&gt;=Settings!$C$28,Settings!$C$48,Settings!$C$49))))</f>
        <v/>
      </c>
      <c r="M14" s="74"/>
      <c r="N14" s="79" t="str">
        <f aca="false">IF(B14="","",IF(COUNTA(E14,F14,G14,H14)=4,"Yes","No"))</f>
        <v/>
      </c>
      <c r="O14" s="79" t="str">
        <f aca="false">IF(OR(B14="",M14=Settings!$C$45),"",IF(AND(ISNUMBER(F14),F14&lt;INDEX('Weekly Tracking'!$C$6:$C$29,COUNT('Weekly Tracking'!$E$6:$E$29))),"Yes","No"))</f>
        <v/>
      </c>
      <c r="P14" s="77" t="n">
        <f aca="false">IF(AND(M14=Settings!$C$44,ISNUMBER(K14)),K14+(100-ROW())/1000,0)</f>
        <v>0</v>
      </c>
    </row>
    <row r="15" customFormat="false" ht="30" hidden="false" customHeight="true" outlineLevel="0" collapsed="false">
      <c r="B15" s="74"/>
      <c r="C15" s="74"/>
      <c r="D15" s="75"/>
      <c r="E15" s="75"/>
      <c r="F15" s="76"/>
      <c r="G15" s="75"/>
      <c r="H15" s="75"/>
      <c r="I15" s="74"/>
      <c r="J15" s="74"/>
      <c r="K15" s="77" t="str">
        <f aca="false">IF(AND(ISNUMBER(I15),ISNUMBER(J15)),I15*J15,"")</f>
        <v/>
      </c>
      <c r="L15" s="78" t="str">
        <f aca="false">IF(K15="","",IF(K15&gt;=Settings!$C$26,Settings!$C$46,IF(K15&gt;=Settings!$C$27,Settings!$C$47,IF(K15&gt;=Settings!$C$28,Settings!$C$48,Settings!$C$49))))</f>
        <v/>
      </c>
      <c r="M15" s="74"/>
      <c r="N15" s="79" t="str">
        <f aca="false">IF(B15="","",IF(COUNTA(E15,F15,G15,H15)=4,"Yes","No"))</f>
        <v/>
      </c>
      <c r="O15" s="79" t="str">
        <f aca="false">IF(OR(B15="",M15=Settings!$C$45),"",IF(AND(ISNUMBER(F15),F15&lt;INDEX('Weekly Tracking'!$C$6:$C$29,COUNT('Weekly Tracking'!$E$6:$E$29))),"Yes","No"))</f>
        <v/>
      </c>
      <c r="P15" s="77" t="n">
        <f aca="false">IF(AND(M15=Settings!$C$44,ISNUMBER(K15)),K15+(100-ROW())/1000,0)</f>
        <v>0</v>
      </c>
    </row>
    <row r="16" customFormat="false" ht="30" hidden="false" customHeight="true" outlineLevel="0" collapsed="false">
      <c r="B16" s="74"/>
      <c r="C16" s="74"/>
      <c r="D16" s="75"/>
      <c r="E16" s="75"/>
      <c r="F16" s="76"/>
      <c r="G16" s="75"/>
      <c r="H16" s="75"/>
      <c r="I16" s="74"/>
      <c r="J16" s="74"/>
      <c r="K16" s="77" t="str">
        <f aca="false">IF(AND(ISNUMBER(I16),ISNUMBER(J16)),I16*J16,"")</f>
        <v/>
      </c>
      <c r="L16" s="78" t="str">
        <f aca="false">IF(K16="","",IF(K16&gt;=Settings!$C$26,Settings!$C$46,IF(K16&gt;=Settings!$C$27,Settings!$C$47,IF(K16&gt;=Settings!$C$28,Settings!$C$48,Settings!$C$49))))</f>
        <v/>
      </c>
      <c r="M16" s="74"/>
      <c r="N16" s="79" t="str">
        <f aca="false">IF(B16="","",IF(COUNTA(E16,F16,G16,H16)=4,"Yes","No"))</f>
        <v/>
      </c>
      <c r="O16" s="79" t="str">
        <f aca="false">IF(OR(B16="",M16=Settings!$C$45),"",IF(AND(ISNUMBER(F16),F16&lt;INDEX('Weekly Tracking'!$C$6:$C$29,COUNT('Weekly Tracking'!$E$6:$E$29))),"Yes","No"))</f>
        <v/>
      </c>
      <c r="P16" s="77" t="n">
        <f aca="false">IF(AND(M16=Settings!$C$44,ISNUMBER(K16)),K16+(100-ROW())/1000,0)</f>
        <v>0</v>
      </c>
    </row>
    <row r="17" customFormat="false" ht="30" hidden="false" customHeight="true" outlineLevel="0" collapsed="false">
      <c r="B17" s="74"/>
      <c r="C17" s="74"/>
      <c r="D17" s="75"/>
      <c r="E17" s="75"/>
      <c r="F17" s="76"/>
      <c r="G17" s="75"/>
      <c r="H17" s="75"/>
      <c r="I17" s="74"/>
      <c r="J17" s="74"/>
      <c r="K17" s="77" t="str">
        <f aca="false">IF(AND(ISNUMBER(I17),ISNUMBER(J17)),I17*J17,"")</f>
        <v/>
      </c>
      <c r="L17" s="78" t="str">
        <f aca="false">IF(K17="","",IF(K17&gt;=Settings!$C$26,Settings!$C$46,IF(K17&gt;=Settings!$C$27,Settings!$C$47,IF(K17&gt;=Settings!$C$28,Settings!$C$48,Settings!$C$49))))</f>
        <v/>
      </c>
      <c r="M17" s="74"/>
      <c r="N17" s="79" t="str">
        <f aca="false">IF(B17="","",IF(COUNTA(E17,F17,G17,H17)=4,"Yes","No"))</f>
        <v/>
      </c>
      <c r="O17" s="79" t="str">
        <f aca="false">IF(OR(B17="",M17=Settings!$C$45),"",IF(AND(ISNUMBER(F17),F17&lt;INDEX('Weekly Tracking'!$C$6:$C$29,COUNT('Weekly Tracking'!$E$6:$E$29))),"Yes","No"))</f>
        <v/>
      </c>
      <c r="P17" s="77" t="n">
        <f aca="false">IF(AND(M17=Settings!$C$44,ISNUMBER(K17)),K17+(100-ROW())/1000,0)</f>
        <v>0</v>
      </c>
    </row>
    <row r="18" customFormat="false" ht="30" hidden="false" customHeight="true" outlineLevel="0" collapsed="false">
      <c r="B18" s="74"/>
      <c r="C18" s="74"/>
      <c r="D18" s="75"/>
      <c r="E18" s="75"/>
      <c r="F18" s="76"/>
      <c r="G18" s="75"/>
      <c r="H18" s="75"/>
      <c r="I18" s="74"/>
      <c r="J18" s="74"/>
      <c r="K18" s="77" t="str">
        <f aca="false">IF(AND(ISNUMBER(I18),ISNUMBER(J18)),I18*J18,"")</f>
        <v/>
      </c>
      <c r="L18" s="78" t="str">
        <f aca="false">IF(K18="","",IF(K18&gt;=Settings!$C$26,Settings!$C$46,IF(K18&gt;=Settings!$C$27,Settings!$C$47,IF(K18&gt;=Settings!$C$28,Settings!$C$48,Settings!$C$49))))</f>
        <v/>
      </c>
      <c r="M18" s="74"/>
      <c r="N18" s="79" t="str">
        <f aca="false">IF(B18="","",IF(COUNTA(E18,F18,G18,H18)=4,"Yes","No"))</f>
        <v/>
      </c>
      <c r="O18" s="79" t="str">
        <f aca="false">IF(OR(B18="",M18=Settings!$C$45),"",IF(AND(ISNUMBER(F18),F18&lt;INDEX('Weekly Tracking'!$C$6:$C$29,COUNT('Weekly Tracking'!$E$6:$E$29))),"Yes","No"))</f>
        <v/>
      </c>
      <c r="P18" s="77" t="n">
        <f aca="false">IF(AND(M18=Settings!$C$44,ISNUMBER(K18)),K18+(100-ROW())/1000,0)</f>
        <v>0</v>
      </c>
    </row>
    <row r="19" customFormat="false" ht="30" hidden="false" customHeight="true" outlineLevel="0" collapsed="false">
      <c r="B19" s="74"/>
      <c r="C19" s="74"/>
      <c r="D19" s="75"/>
      <c r="E19" s="75"/>
      <c r="F19" s="76"/>
      <c r="G19" s="75"/>
      <c r="H19" s="75"/>
      <c r="I19" s="74"/>
      <c r="J19" s="74"/>
      <c r="K19" s="77" t="str">
        <f aca="false">IF(AND(ISNUMBER(I19),ISNUMBER(J19)),I19*J19,"")</f>
        <v/>
      </c>
      <c r="L19" s="78" t="str">
        <f aca="false">IF(K19="","",IF(K19&gt;=Settings!$C$26,Settings!$C$46,IF(K19&gt;=Settings!$C$27,Settings!$C$47,IF(K19&gt;=Settings!$C$28,Settings!$C$48,Settings!$C$49))))</f>
        <v/>
      </c>
      <c r="M19" s="74"/>
      <c r="N19" s="79" t="str">
        <f aca="false">IF(B19="","",IF(COUNTA(E19,F19,G19,H19)=4,"Yes","No"))</f>
        <v/>
      </c>
      <c r="O19" s="79" t="str">
        <f aca="false">IF(OR(B19="",M19=Settings!$C$45),"",IF(AND(ISNUMBER(F19),F19&lt;INDEX('Weekly Tracking'!$C$6:$C$29,COUNT('Weekly Tracking'!$E$6:$E$29))),"Yes","No"))</f>
        <v/>
      </c>
      <c r="P19" s="77" t="n">
        <f aca="false">IF(AND(M19=Settings!$C$44,ISNUMBER(K19)),K19+(100-ROW())/1000,0)</f>
        <v>0</v>
      </c>
    </row>
    <row r="20" customFormat="false" ht="30" hidden="false" customHeight="true" outlineLevel="0" collapsed="false">
      <c r="B20" s="74"/>
      <c r="C20" s="74"/>
      <c r="D20" s="75"/>
      <c r="E20" s="75"/>
      <c r="F20" s="76"/>
      <c r="G20" s="75"/>
      <c r="H20" s="75"/>
      <c r="I20" s="74"/>
      <c r="J20" s="74"/>
      <c r="K20" s="77" t="str">
        <f aca="false">IF(AND(ISNUMBER(I20),ISNUMBER(J20)),I20*J20,"")</f>
        <v/>
      </c>
      <c r="L20" s="78" t="str">
        <f aca="false">IF(K20="","",IF(K20&gt;=Settings!$C$26,Settings!$C$46,IF(K20&gt;=Settings!$C$27,Settings!$C$47,IF(K20&gt;=Settings!$C$28,Settings!$C$48,Settings!$C$49))))</f>
        <v/>
      </c>
      <c r="M20" s="74"/>
      <c r="N20" s="79" t="str">
        <f aca="false">IF(B20="","",IF(COUNTA(E20,F20,G20,H20)=4,"Yes","No"))</f>
        <v/>
      </c>
      <c r="O20" s="79" t="str">
        <f aca="false">IF(OR(B20="",M20=Settings!$C$45),"",IF(AND(ISNUMBER(F20),F20&lt;INDEX('Weekly Tracking'!$C$6:$C$29,COUNT('Weekly Tracking'!$E$6:$E$29))),"Yes","No"))</f>
        <v/>
      </c>
      <c r="P20" s="77" t="n">
        <f aca="false">IF(AND(M20=Settings!$C$44,ISNUMBER(K20)),K20+(100-ROW())/1000,0)</f>
        <v>0</v>
      </c>
    </row>
    <row r="21" customFormat="false" ht="30" hidden="false" customHeight="true" outlineLevel="0" collapsed="false">
      <c r="B21" s="74"/>
      <c r="C21" s="74"/>
      <c r="D21" s="75"/>
      <c r="E21" s="75"/>
      <c r="F21" s="76"/>
      <c r="G21" s="75"/>
      <c r="H21" s="75"/>
      <c r="I21" s="74"/>
      <c r="J21" s="74"/>
      <c r="K21" s="77" t="str">
        <f aca="false">IF(AND(ISNUMBER(I21),ISNUMBER(J21)),I21*J21,"")</f>
        <v/>
      </c>
      <c r="L21" s="78" t="str">
        <f aca="false">IF(K21="","",IF(K21&gt;=Settings!$C$26,Settings!$C$46,IF(K21&gt;=Settings!$C$27,Settings!$C$47,IF(K21&gt;=Settings!$C$28,Settings!$C$48,Settings!$C$49))))</f>
        <v/>
      </c>
      <c r="M21" s="74"/>
      <c r="N21" s="79" t="str">
        <f aca="false">IF(B21="","",IF(COUNTA(E21,F21,G21,H21)=4,"Yes","No"))</f>
        <v/>
      </c>
      <c r="O21" s="79" t="str">
        <f aca="false">IF(OR(B21="",M21=Settings!$C$45),"",IF(AND(ISNUMBER(F21),F21&lt;INDEX('Weekly Tracking'!$C$6:$C$29,COUNT('Weekly Tracking'!$E$6:$E$29))),"Yes","No"))</f>
        <v/>
      </c>
      <c r="P21" s="77" t="n">
        <f aca="false">IF(AND(M21=Settings!$C$44,ISNUMBER(K21)),K21+(100-ROW())/1000,0)</f>
        <v>0</v>
      </c>
    </row>
    <row r="22" customFormat="false" ht="30" hidden="false" customHeight="true" outlineLevel="0" collapsed="false">
      <c r="B22" s="74"/>
      <c r="C22" s="74"/>
      <c r="D22" s="75"/>
      <c r="E22" s="75"/>
      <c r="F22" s="76"/>
      <c r="G22" s="75"/>
      <c r="H22" s="75"/>
      <c r="I22" s="74"/>
      <c r="J22" s="74"/>
      <c r="K22" s="77" t="str">
        <f aca="false">IF(AND(ISNUMBER(I22),ISNUMBER(J22)),I22*J22,"")</f>
        <v/>
      </c>
      <c r="L22" s="78" t="str">
        <f aca="false">IF(K22="","",IF(K22&gt;=Settings!$C$26,Settings!$C$46,IF(K22&gt;=Settings!$C$27,Settings!$C$47,IF(K22&gt;=Settings!$C$28,Settings!$C$48,Settings!$C$49))))</f>
        <v/>
      </c>
      <c r="M22" s="74"/>
      <c r="N22" s="79" t="str">
        <f aca="false">IF(B22="","",IF(COUNTA(E22,F22,G22,H22)=4,"Yes","No"))</f>
        <v/>
      </c>
      <c r="O22" s="79" t="str">
        <f aca="false">IF(OR(B22="",M22=Settings!$C$45),"",IF(AND(ISNUMBER(F22),F22&lt;INDEX('Weekly Tracking'!$C$6:$C$29,COUNT('Weekly Tracking'!$E$6:$E$29))),"Yes","No"))</f>
        <v/>
      </c>
      <c r="P22" s="77" t="n">
        <f aca="false">IF(AND(M22=Settings!$C$44,ISNUMBER(K22)),K22+(100-ROW())/1000,0)</f>
        <v>0</v>
      </c>
    </row>
    <row r="23" customFormat="false" ht="30" hidden="false" customHeight="true" outlineLevel="0" collapsed="false">
      <c r="B23" s="74"/>
      <c r="C23" s="74"/>
      <c r="D23" s="75"/>
      <c r="E23" s="75"/>
      <c r="F23" s="76"/>
      <c r="G23" s="75"/>
      <c r="H23" s="75"/>
      <c r="I23" s="74"/>
      <c r="J23" s="74"/>
      <c r="K23" s="77" t="str">
        <f aca="false">IF(AND(ISNUMBER(I23),ISNUMBER(J23)),I23*J23,"")</f>
        <v/>
      </c>
      <c r="L23" s="78" t="str">
        <f aca="false">IF(K23="","",IF(K23&gt;=Settings!$C$26,Settings!$C$46,IF(K23&gt;=Settings!$C$27,Settings!$C$47,IF(K23&gt;=Settings!$C$28,Settings!$C$48,Settings!$C$49))))</f>
        <v/>
      </c>
      <c r="M23" s="74"/>
      <c r="N23" s="79" t="str">
        <f aca="false">IF(B23="","",IF(COUNTA(E23,F23,G23,H23)=4,"Yes","No"))</f>
        <v/>
      </c>
      <c r="O23" s="79" t="str">
        <f aca="false">IF(OR(B23="",M23=Settings!$C$45),"",IF(AND(ISNUMBER(F23),F23&lt;INDEX('Weekly Tracking'!$C$6:$C$29,COUNT('Weekly Tracking'!$E$6:$E$29))),"Yes","No"))</f>
        <v/>
      </c>
      <c r="P23" s="77" t="n">
        <f aca="false">IF(AND(M23=Settings!$C$44,ISNUMBER(K23)),K23+(100-ROW())/1000,0)</f>
        <v>0</v>
      </c>
    </row>
    <row r="24" customFormat="false" ht="30" hidden="false" customHeight="true" outlineLevel="0" collapsed="false">
      <c r="B24" s="74"/>
      <c r="C24" s="74"/>
      <c r="D24" s="75"/>
      <c r="E24" s="75"/>
      <c r="F24" s="76"/>
      <c r="G24" s="75"/>
      <c r="H24" s="75"/>
      <c r="I24" s="74"/>
      <c r="J24" s="74"/>
      <c r="K24" s="77" t="str">
        <f aca="false">IF(AND(ISNUMBER(I24),ISNUMBER(J24)),I24*J24,"")</f>
        <v/>
      </c>
      <c r="L24" s="78" t="str">
        <f aca="false">IF(K24="","",IF(K24&gt;=Settings!$C$26,Settings!$C$46,IF(K24&gt;=Settings!$C$27,Settings!$C$47,IF(K24&gt;=Settings!$C$28,Settings!$C$48,Settings!$C$49))))</f>
        <v/>
      </c>
      <c r="M24" s="74"/>
      <c r="N24" s="79" t="str">
        <f aca="false">IF(B24="","",IF(COUNTA(E24,F24,G24,H24)=4,"Yes","No"))</f>
        <v/>
      </c>
      <c r="O24" s="79" t="str">
        <f aca="false">IF(OR(B24="",M24=Settings!$C$45),"",IF(AND(ISNUMBER(F24),F24&lt;INDEX('Weekly Tracking'!$C$6:$C$29,COUNT('Weekly Tracking'!$E$6:$E$29))),"Yes","No"))</f>
        <v/>
      </c>
      <c r="P24" s="77" t="n">
        <f aca="false">IF(AND(M24=Settings!$C$44,ISNUMBER(K24)),K24+(100-ROW())/1000,0)</f>
        <v>0</v>
      </c>
    </row>
    <row r="25" customFormat="false" ht="30" hidden="false" customHeight="true" outlineLevel="0" collapsed="false">
      <c r="B25" s="74"/>
      <c r="C25" s="74"/>
      <c r="D25" s="75"/>
      <c r="E25" s="75"/>
      <c r="F25" s="76"/>
      <c r="G25" s="75"/>
      <c r="H25" s="75"/>
      <c r="I25" s="74"/>
      <c r="J25" s="74"/>
      <c r="K25" s="77" t="str">
        <f aca="false">IF(AND(ISNUMBER(I25),ISNUMBER(J25)),I25*J25,"")</f>
        <v/>
      </c>
      <c r="L25" s="78" t="str">
        <f aca="false">IF(K25="","",IF(K25&gt;=Settings!$C$26,Settings!$C$46,IF(K25&gt;=Settings!$C$27,Settings!$C$47,IF(K25&gt;=Settings!$C$28,Settings!$C$48,Settings!$C$49))))</f>
        <v/>
      </c>
      <c r="M25" s="74"/>
      <c r="N25" s="79" t="str">
        <f aca="false">IF(B25="","",IF(COUNTA(E25,F25,G25,H25)=4,"Yes","No"))</f>
        <v/>
      </c>
      <c r="O25" s="79" t="str">
        <f aca="false">IF(OR(B25="",M25=Settings!$C$45),"",IF(AND(ISNUMBER(F25),F25&lt;INDEX('Weekly Tracking'!$C$6:$C$29,COUNT('Weekly Tracking'!$E$6:$E$29))),"Yes","No"))</f>
        <v/>
      </c>
      <c r="P25" s="77" t="n">
        <f aca="false">IF(AND(M25=Settings!$C$44,ISNUMBER(K25)),K25+(100-ROW())/1000,0)</f>
        <v>0</v>
      </c>
    </row>
    <row r="26" customFormat="false" ht="30" hidden="false" customHeight="true" outlineLevel="0" collapsed="false">
      <c r="B26" s="74"/>
      <c r="C26" s="74"/>
      <c r="D26" s="75"/>
      <c r="E26" s="75"/>
      <c r="F26" s="76"/>
      <c r="G26" s="75"/>
      <c r="H26" s="75"/>
      <c r="I26" s="74"/>
      <c r="J26" s="74"/>
      <c r="K26" s="77" t="str">
        <f aca="false">IF(AND(ISNUMBER(I26),ISNUMBER(J26)),I26*J26,"")</f>
        <v/>
      </c>
      <c r="L26" s="78" t="str">
        <f aca="false">IF(K26="","",IF(K26&gt;=Settings!$C$26,Settings!$C$46,IF(K26&gt;=Settings!$C$27,Settings!$C$47,IF(K26&gt;=Settings!$C$28,Settings!$C$48,Settings!$C$49))))</f>
        <v/>
      </c>
      <c r="M26" s="74"/>
      <c r="N26" s="79" t="str">
        <f aca="false">IF(B26="","",IF(COUNTA(E26,F26,G26,H26)=4,"Yes","No"))</f>
        <v/>
      </c>
      <c r="O26" s="79" t="str">
        <f aca="false">IF(OR(B26="",M26=Settings!$C$45),"",IF(AND(ISNUMBER(F26),F26&lt;INDEX('Weekly Tracking'!$C$6:$C$29,COUNT('Weekly Tracking'!$E$6:$E$29))),"Yes","No"))</f>
        <v/>
      </c>
      <c r="P26" s="77" t="n">
        <f aca="false">IF(AND(M26=Settings!$C$44,ISNUMBER(K26)),K26+(100-ROW())/1000,0)</f>
        <v>0</v>
      </c>
    </row>
    <row r="27" customFormat="false" ht="30" hidden="false" customHeight="true" outlineLevel="0" collapsed="false">
      <c r="B27" s="74"/>
      <c r="C27" s="74"/>
      <c r="D27" s="75"/>
      <c r="E27" s="75"/>
      <c r="F27" s="76"/>
      <c r="G27" s="75"/>
      <c r="H27" s="75"/>
      <c r="I27" s="74"/>
      <c r="J27" s="74"/>
      <c r="K27" s="77" t="str">
        <f aca="false">IF(AND(ISNUMBER(I27),ISNUMBER(J27)),I27*J27,"")</f>
        <v/>
      </c>
      <c r="L27" s="78" t="str">
        <f aca="false">IF(K27="","",IF(K27&gt;=Settings!$C$26,Settings!$C$46,IF(K27&gt;=Settings!$C$27,Settings!$C$47,IF(K27&gt;=Settings!$C$28,Settings!$C$48,Settings!$C$49))))</f>
        <v/>
      </c>
      <c r="M27" s="74"/>
      <c r="N27" s="79" t="str">
        <f aca="false">IF(B27="","",IF(COUNTA(E27,F27,G27,H27)=4,"Yes","No"))</f>
        <v/>
      </c>
      <c r="O27" s="79" t="str">
        <f aca="false">IF(OR(B27="",M27=Settings!$C$45),"",IF(AND(ISNUMBER(F27),F27&lt;INDEX('Weekly Tracking'!$C$6:$C$29,COUNT('Weekly Tracking'!$E$6:$E$29))),"Yes","No"))</f>
        <v/>
      </c>
      <c r="P27" s="77" t="n">
        <f aca="false">IF(AND(M27=Settings!$C$44,ISNUMBER(K27)),K27+(100-ROW())/1000,0)</f>
        <v>0</v>
      </c>
    </row>
    <row r="28" customFormat="false" ht="30" hidden="false" customHeight="true" outlineLevel="0" collapsed="false">
      <c r="B28" s="74"/>
      <c r="C28" s="74"/>
      <c r="D28" s="75"/>
      <c r="E28" s="75"/>
      <c r="F28" s="76"/>
      <c r="G28" s="75"/>
      <c r="H28" s="75"/>
      <c r="I28" s="74"/>
      <c r="J28" s="74"/>
      <c r="K28" s="77" t="str">
        <f aca="false">IF(AND(ISNUMBER(I28),ISNUMBER(J28)),I28*J28,"")</f>
        <v/>
      </c>
      <c r="L28" s="78" t="str">
        <f aca="false">IF(K28="","",IF(K28&gt;=Settings!$C$26,Settings!$C$46,IF(K28&gt;=Settings!$C$27,Settings!$C$47,IF(K28&gt;=Settings!$C$28,Settings!$C$48,Settings!$C$49))))</f>
        <v/>
      </c>
      <c r="M28" s="74"/>
      <c r="N28" s="79" t="str">
        <f aca="false">IF(B28="","",IF(COUNTA(E28,F28,G28,H28)=4,"Yes","No"))</f>
        <v/>
      </c>
      <c r="O28" s="79" t="str">
        <f aca="false">IF(OR(B28="",M28=Settings!$C$45),"",IF(AND(ISNUMBER(F28),F28&lt;INDEX('Weekly Tracking'!$C$6:$C$29,COUNT('Weekly Tracking'!$E$6:$E$29))),"Yes","No"))</f>
        <v/>
      </c>
      <c r="P28" s="77" t="n">
        <f aca="false">IF(AND(M28=Settings!$C$44,ISNUMBER(K28)),K28+(100-ROW())/1000,0)</f>
        <v>0</v>
      </c>
    </row>
    <row r="29" customFormat="false" ht="30" hidden="false" customHeight="true" outlineLevel="0" collapsed="false">
      <c r="B29" s="74"/>
      <c r="C29" s="74"/>
      <c r="D29" s="75"/>
      <c r="E29" s="75"/>
      <c r="F29" s="76"/>
      <c r="G29" s="75"/>
      <c r="H29" s="75"/>
      <c r="I29" s="74"/>
      <c r="J29" s="74"/>
      <c r="K29" s="77" t="str">
        <f aca="false">IF(AND(ISNUMBER(I29),ISNUMBER(J29)),I29*J29,"")</f>
        <v/>
      </c>
      <c r="L29" s="78" t="str">
        <f aca="false">IF(K29="","",IF(K29&gt;=Settings!$C$26,Settings!$C$46,IF(K29&gt;=Settings!$C$27,Settings!$C$47,IF(K29&gt;=Settings!$C$28,Settings!$C$48,Settings!$C$49))))</f>
        <v/>
      </c>
      <c r="M29" s="74"/>
      <c r="N29" s="79" t="str">
        <f aca="false">IF(B29="","",IF(COUNTA(E29,F29,G29,H29)=4,"Yes","No"))</f>
        <v/>
      </c>
      <c r="O29" s="79" t="str">
        <f aca="false">IF(OR(B29="",M29=Settings!$C$45),"",IF(AND(ISNUMBER(F29),F29&lt;INDEX('Weekly Tracking'!$C$6:$C$29,COUNT('Weekly Tracking'!$E$6:$E$29))),"Yes","No"))</f>
        <v/>
      </c>
      <c r="P29" s="77" t="n">
        <f aca="false">IF(AND(M29=Settings!$C$44,ISNUMBER(K29)),K29+(100-ROW())/1000,0)</f>
        <v>0</v>
      </c>
    </row>
    <row r="30" customFormat="false" ht="30" hidden="false" customHeight="true" outlineLevel="0" collapsed="false">
      <c r="B30" s="74"/>
      <c r="C30" s="74"/>
      <c r="D30" s="75"/>
      <c r="E30" s="75"/>
      <c r="F30" s="76"/>
      <c r="G30" s="75"/>
      <c r="H30" s="75"/>
      <c r="I30" s="74"/>
      <c r="J30" s="74"/>
      <c r="K30" s="77" t="str">
        <f aca="false">IF(AND(ISNUMBER(I30),ISNUMBER(J30)),I30*J30,"")</f>
        <v/>
      </c>
      <c r="L30" s="78" t="str">
        <f aca="false">IF(K30="","",IF(K30&gt;=Settings!$C$26,Settings!$C$46,IF(K30&gt;=Settings!$C$27,Settings!$C$47,IF(K30&gt;=Settings!$C$28,Settings!$C$48,Settings!$C$49))))</f>
        <v/>
      </c>
      <c r="M30" s="74"/>
      <c r="N30" s="79" t="str">
        <f aca="false">IF(B30="","",IF(COUNTA(E30,F30,G30,H30)=4,"Yes","No"))</f>
        <v/>
      </c>
      <c r="O30" s="79" t="str">
        <f aca="false">IF(OR(B30="",M30=Settings!$C$45),"",IF(AND(ISNUMBER(F30),F30&lt;INDEX('Weekly Tracking'!$C$6:$C$29,COUNT('Weekly Tracking'!$E$6:$E$29))),"Yes","No"))</f>
        <v/>
      </c>
      <c r="P30" s="77" t="n">
        <f aca="false">IF(AND(M30=Settings!$C$44,ISNUMBER(K30)),K30+(100-ROW())/1000,0)</f>
        <v>0</v>
      </c>
    </row>
    <row r="31" customFormat="false" ht="30" hidden="false" customHeight="true" outlineLevel="0" collapsed="false">
      <c r="B31" s="74"/>
      <c r="C31" s="74"/>
      <c r="D31" s="75"/>
      <c r="E31" s="75"/>
      <c r="F31" s="76"/>
      <c r="G31" s="75"/>
      <c r="H31" s="75"/>
      <c r="I31" s="74"/>
      <c r="J31" s="74"/>
      <c r="K31" s="77" t="str">
        <f aca="false">IF(AND(ISNUMBER(I31),ISNUMBER(J31)),I31*J31,"")</f>
        <v/>
      </c>
      <c r="L31" s="78" t="str">
        <f aca="false">IF(K31="","",IF(K31&gt;=Settings!$C$26,Settings!$C$46,IF(K31&gt;=Settings!$C$27,Settings!$C$47,IF(K31&gt;=Settings!$C$28,Settings!$C$48,Settings!$C$49))))</f>
        <v/>
      </c>
      <c r="M31" s="74"/>
      <c r="N31" s="79" t="str">
        <f aca="false">IF(B31="","",IF(COUNTA(E31,F31,G31,H31)=4,"Yes","No"))</f>
        <v/>
      </c>
      <c r="O31" s="79" t="str">
        <f aca="false">IF(OR(B31="",M31=Settings!$C$45),"",IF(AND(ISNUMBER(F31),F31&lt;INDEX('Weekly Tracking'!$C$6:$C$29,COUNT('Weekly Tracking'!$E$6:$E$29))),"Yes","No"))</f>
        <v/>
      </c>
      <c r="P31" s="77" t="n">
        <f aca="false">IF(AND(M31=Settings!$C$44,ISNUMBER(K31)),K31+(100-ROW())/1000,0)</f>
        <v>0</v>
      </c>
    </row>
    <row r="32" customFormat="false" ht="30" hidden="false" customHeight="true" outlineLevel="0" collapsed="false">
      <c r="B32" s="74"/>
      <c r="C32" s="74"/>
      <c r="D32" s="75"/>
      <c r="E32" s="75"/>
      <c r="F32" s="76"/>
      <c r="G32" s="75"/>
      <c r="H32" s="75"/>
      <c r="I32" s="74"/>
      <c r="J32" s="74"/>
      <c r="K32" s="77" t="str">
        <f aca="false">IF(AND(ISNUMBER(I32),ISNUMBER(J32)),I32*J32,"")</f>
        <v/>
      </c>
      <c r="L32" s="78" t="str">
        <f aca="false">IF(K32="","",IF(K32&gt;=Settings!$C$26,Settings!$C$46,IF(K32&gt;=Settings!$C$27,Settings!$C$47,IF(K32&gt;=Settings!$C$28,Settings!$C$48,Settings!$C$49))))</f>
        <v/>
      </c>
      <c r="M32" s="74"/>
      <c r="N32" s="79" t="str">
        <f aca="false">IF(B32="","",IF(COUNTA(E32,F32,G32,H32)=4,"Yes","No"))</f>
        <v/>
      </c>
      <c r="O32" s="79" t="str">
        <f aca="false">IF(OR(B32="",M32=Settings!$C$45),"",IF(AND(ISNUMBER(F32),F32&lt;INDEX('Weekly Tracking'!$C$6:$C$29,COUNT('Weekly Tracking'!$E$6:$E$29))),"Yes","No"))</f>
        <v/>
      </c>
      <c r="P32" s="77" t="n">
        <f aca="false">IF(AND(M32=Settings!$C$44,ISNUMBER(K32)),K32+(100-ROW())/1000,0)</f>
        <v>0</v>
      </c>
    </row>
    <row r="33" customFormat="false" ht="30" hidden="false" customHeight="true" outlineLevel="0" collapsed="false">
      <c r="B33" s="74"/>
      <c r="C33" s="74"/>
      <c r="D33" s="75"/>
      <c r="E33" s="75"/>
      <c r="F33" s="76"/>
      <c r="G33" s="75"/>
      <c r="H33" s="75"/>
      <c r="I33" s="74"/>
      <c r="J33" s="74"/>
      <c r="K33" s="77" t="str">
        <f aca="false">IF(AND(ISNUMBER(I33),ISNUMBER(J33)),I33*J33,"")</f>
        <v/>
      </c>
      <c r="L33" s="78" t="str">
        <f aca="false">IF(K33="","",IF(K33&gt;=Settings!$C$26,Settings!$C$46,IF(K33&gt;=Settings!$C$27,Settings!$C$47,IF(K33&gt;=Settings!$C$28,Settings!$C$48,Settings!$C$49))))</f>
        <v/>
      </c>
      <c r="M33" s="74"/>
      <c r="N33" s="79" t="str">
        <f aca="false">IF(B33="","",IF(COUNTA(E33,F33,G33,H33)=4,"Yes","No"))</f>
        <v/>
      </c>
      <c r="O33" s="79" t="str">
        <f aca="false">IF(OR(B33="",M33=Settings!$C$45),"",IF(AND(ISNUMBER(F33),F33&lt;INDEX('Weekly Tracking'!$C$6:$C$29,COUNT('Weekly Tracking'!$E$6:$E$29))),"Yes","No"))</f>
        <v/>
      </c>
      <c r="P33" s="77" t="n">
        <f aca="false">IF(AND(M33=Settings!$C$44,ISNUMBER(K33)),K33+(100-ROW())/1000,0)</f>
        <v>0</v>
      </c>
    </row>
    <row r="34" customFormat="false" ht="30" hidden="false" customHeight="true" outlineLevel="0" collapsed="false">
      <c r="B34" s="74"/>
      <c r="C34" s="74"/>
      <c r="D34" s="75"/>
      <c r="E34" s="75"/>
      <c r="F34" s="76"/>
      <c r="G34" s="75"/>
      <c r="H34" s="75"/>
      <c r="I34" s="74"/>
      <c r="J34" s="74"/>
      <c r="K34" s="77" t="str">
        <f aca="false">IF(AND(ISNUMBER(I34),ISNUMBER(J34)),I34*J34,"")</f>
        <v/>
      </c>
      <c r="L34" s="78" t="str">
        <f aca="false">IF(K34="","",IF(K34&gt;=Settings!$C$26,Settings!$C$46,IF(K34&gt;=Settings!$C$27,Settings!$C$47,IF(K34&gt;=Settings!$C$28,Settings!$C$48,Settings!$C$49))))</f>
        <v/>
      </c>
      <c r="M34" s="74"/>
      <c r="N34" s="79" t="str">
        <f aca="false">IF(B34="","",IF(COUNTA(E34,F34,G34,H34)=4,"Yes","No"))</f>
        <v/>
      </c>
      <c r="O34" s="79" t="str">
        <f aca="false">IF(OR(B34="",M34=Settings!$C$45),"",IF(AND(ISNUMBER(F34),F34&lt;INDEX('Weekly Tracking'!$C$6:$C$29,COUNT('Weekly Tracking'!$E$6:$E$29))),"Yes","No"))</f>
        <v/>
      </c>
      <c r="P34" s="77" t="n">
        <f aca="false">IF(AND(M34=Settings!$C$44,ISNUMBER(K34)),K34+(100-ROW())/1000,0)</f>
        <v>0</v>
      </c>
    </row>
    <row r="35" customFormat="false" ht="30" hidden="false" customHeight="true" outlineLevel="0" collapsed="false">
      <c r="B35" s="74"/>
      <c r="C35" s="74"/>
      <c r="D35" s="75"/>
      <c r="E35" s="75"/>
      <c r="F35" s="76"/>
      <c r="G35" s="75"/>
      <c r="H35" s="75"/>
      <c r="I35" s="74"/>
      <c r="J35" s="74"/>
      <c r="K35" s="77" t="str">
        <f aca="false">IF(AND(ISNUMBER(I35),ISNUMBER(J35)),I35*J35,"")</f>
        <v/>
      </c>
      <c r="L35" s="78" t="str">
        <f aca="false">IF(K35="","",IF(K35&gt;=Settings!$C$26,Settings!$C$46,IF(K35&gt;=Settings!$C$27,Settings!$C$47,IF(K35&gt;=Settings!$C$28,Settings!$C$48,Settings!$C$49))))</f>
        <v/>
      </c>
      <c r="M35" s="74"/>
      <c r="N35" s="79" t="str">
        <f aca="false">IF(B35="","",IF(COUNTA(E35,F35,G35,H35)=4,"Yes","No"))</f>
        <v/>
      </c>
      <c r="O35" s="79" t="str">
        <f aca="false">IF(OR(B35="",M35=Settings!$C$45),"",IF(AND(ISNUMBER(F35),F35&lt;INDEX('Weekly Tracking'!$C$6:$C$29,COUNT('Weekly Tracking'!$E$6:$E$29))),"Yes","No"))</f>
        <v/>
      </c>
      <c r="P35" s="77" t="n">
        <f aca="false">IF(AND(M35=Settings!$C$44,ISNUMBER(K35)),K35+(100-ROW())/1000,0)</f>
        <v>0</v>
      </c>
    </row>
    <row r="37" customFormat="false" ht="15" hidden="false" customHeight="false" outlineLevel="0" collapsed="false">
      <c r="B37" s="35" t="s">
        <v>46</v>
      </c>
    </row>
  </sheetData>
  <conditionalFormatting sqref="K6:K35">
    <cfRule type="colorScale" priority="2">
      <colorScale>
        <cfvo type="num" val="1"/>
        <cfvo type="num" val="8"/>
        <cfvo type="num" val="25"/>
        <color rgb="FFFFFFFF"/>
        <color rgb="FFFFE08A"/>
        <color rgb="FFE8746B"/>
      </colorScale>
    </cfRule>
  </conditionalFormatting>
  <conditionalFormatting sqref="L6:L35">
    <cfRule type="cellIs" priority="3" operator="equal" aboveAverage="0" equalAverage="0" bottom="0" percent="0" rank="0" text="" dxfId="2">
      <formula>Settings!$C$46</formula>
    </cfRule>
    <cfRule type="cellIs" priority="4" operator="equal" aboveAverage="0" equalAverage="0" bottom="0" percent="0" rank="0" text="" dxfId="12">
      <formula>Settings!$C$47</formula>
    </cfRule>
    <cfRule type="cellIs" priority="5" operator="equal" aboveAverage="0" equalAverage="0" bottom="0" percent="0" rank="0" text="" dxfId="1">
      <formula>Settings!$C$48</formula>
    </cfRule>
    <cfRule type="cellIs" priority="6" operator="equal" aboveAverage="0" equalAverage="0" bottom="0" percent="0" rank="0" text="" dxfId="0">
      <formula>Settings!$C$49</formula>
    </cfRule>
  </conditionalFormatting>
  <conditionalFormatting sqref="N6:N35">
    <cfRule type="cellIs" priority="7" operator="equal" aboveAverage="0" equalAverage="0" bottom="0" percent="0" rank="0" text="" dxfId="2">
      <formula>"No"</formula>
    </cfRule>
  </conditionalFormatting>
  <conditionalFormatting sqref="O6:O35">
    <cfRule type="cellIs" priority="8" operator="equal" aboveAverage="0" equalAverage="0" bottom="0" percent="0" rank="0" text="" dxfId="2">
      <formula>"Yes"</formula>
    </cfRule>
  </conditionalFormatting>
  <conditionalFormatting sqref="B6:O35">
    <cfRule type="expression" priority="9" aboveAverage="0" equalAverage="0" bottom="0" percent="0" rank="0" text="" dxfId="16">
      <formula>$M6=Settings!$C$45</formula>
    </cfRule>
  </conditionalFormatting>
  <dataValidations count="3">
    <dataValidation allowBlank="true" errorStyle="stop" operator="between" showDropDown="false" showErrorMessage="false" showInputMessage="false" sqref="C6:C35" type="list">
      <formula1>Settings!$C$42:$C$43</formula1>
      <formula2>0</formula2>
    </dataValidation>
    <dataValidation allowBlank="true" errorStyle="stop" operator="between" showDropDown="false" showErrorMessage="false" showInputMessage="false" sqref="M6:M35" type="list">
      <formula1>Settings!$C$44:$C$45</formula1>
      <formula2>0</formula2>
    </dataValidation>
    <dataValidation allowBlank="true" errorStyle="stop" operator="between" showDropDown="false" showErrorMessage="false" showInputMessage="false" sqref="I6:J35" type="whole">
      <formula1>1</formula1>
      <formula2>5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&amp;C&amp;"Arial,Italic"&amp;8© Carlos Alberto Ruiz Brito · 14/10/2026 · Delivery con Charly Brito · carlosruizbrito.com · CC BY 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2026-10-14T12:00:00Z</dcterms:created>
  <dc:creator>Carlos Alberto Ruiz Brito</dc:creator>
  <dc:description/>
  <dc:language>en-US</dc:language>
  <cp:lastModifiedBy/>
  <dcterms:modified xsi:type="dcterms:W3CDTF">2026-10-14T19:49:16Z</dcterms:modified>
  <cp:revision>2</cp:revision>
  <dc:subject/>
  <dc:title>Executive Delivery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